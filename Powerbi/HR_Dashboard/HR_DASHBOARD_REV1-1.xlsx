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\Documents\"/>
    </mc:Choice>
  </mc:AlternateContent>
  <xr:revisionPtr revIDLastSave="0" documentId="13_ncr:1_{2D1F385D-C499-4FA6-B1EB-406081667A64}" xr6:coauthVersionLast="47" xr6:coauthVersionMax="47" xr10:uidLastSave="{00000000-0000-0000-0000-000000000000}"/>
  <bookViews>
    <workbookView xWindow="25080" yWindow="-120" windowWidth="25440" windowHeight="15540" xr2:uid="{B79CB965-0A59-45AA-91A2-490E23041AE6}"/>
  </bookViews>
  <sheets>
    <sheet name="REQUIREMENT" sheetId="1" r:id="rId1"/>
    <sheet name="RAW" sheetId="3" r:id="rId2"/>
    <sheet name="GRADUATE" sheetId="4" r:id="rId3"/>
    <sheet name="PROMO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H3" i="4"/>
  <c r="H2" i="4"/>
</calcChain>
</file>

<file path=xl/sharedStrings.xml><?xml version="1.0" encoding="utf-8"?>
<sst xmlns="http://schemas.openxmlformats.org/spreadsheetml/2006/main" count="939" uniqueCount="419">
  <si>
    <t>TOTAL NUMBER OF EMPLOYEE</t>
  </si>
  <si>
    <t>TOTAL NUMBER OF LOCAL</t>
  </si>
  <si>
    <t>TOTAL NUMBER OF RETIREMENT (NORMAL RETIREMENT DATE)</t>
  </si>
  <si>
    <t>TOTAL NUMBER OF EMPLOYEE (BY DEPARTMENT)</t>
  </si>
  <si>
    <t>TOTAL OF VACANY POSITION</t>
  </si>
  <si>
    <t>EMPLOYEE OVERVIEW</t>
  </si>
  <si>
    <t>CONTRACT</t>
  </si>
  <si>
    <t>SKILLPOOL</t>
  </si>
  <si>
    <t>PROMOTION</t>
  </si>
  <si>
    <t>RAW:B</t>
  </si>
  <si>
    <t>RAW:T</t>
  </si>
  <si>
    <t>RAW:AT</t>
  </si>
  <si>
    <t>REFERENCE DATA</t>
  </si>
  <si>
    <t>VISUALIZATION TYPE</t>
  </si>
  <si>
    <t>RAW:I</t>
  </si>
  <si>
    <t>RAW:AK</t>
  </si>
  <si>
    <t>RAW:AF</t>
  </si>
  <si>
    <t>BLANK</t>
  </si>
  <si>
    <t>REMARKS</t>
  </si>
  <si>
    <t>REGULAR</t>
  </si>
  <si>
    <t>EXPATRIATE - OUT</t>
  </si>
  <si>
    <t>EXPATRIATE - IBAS/OTHER</t>
  </si>
  <si>
    <t>MALE/FEMALE</t>
  </si>
  <si>
    <t>RAW:AK:AQ</t>
  </si>
  <si>
    <t>TOTAL NUMBER OF EMPLOYEE (BEYOND 4 YRS)</t>
  </si>
  <si>
    <t>TOTAL NUMBER OF EMPLOYEE (BEYOND 4 YRS &lt; 7 MNTHS WPED)</t>
  </si>
  <si>
    <t>RAW:AK:AQ:AV</t>
  </si>
  <si>
    <t>TOTAL NUMBER OF EMPLOYEE (WITHIN 4 YRS)</t>
  </si>
  <si>
    <t>WITHIN OR EQUAL TO 4 YRS AGAINST CURRENT DATE</t>
  </si>
  <si>
    <t>BEYOND OR EQUAL TO 4 YRS AGAINST CURRENT DATE</t>
  </si>
  <si>
    <t>BEYOND OR EQUAL TO 4 YRS AGAINST CURRENT DATE BUT LESS THAN OR EQUAL TO 7 MNTHS</t>
  </si>
  <si>
    <t>TOTAL NUMBER OF EMPLOYEE (WITHIN 4 YRS &lt; 4 MNTHS WPED)</t>
  </si>
  <si>
    <t>WITHIN OR EQUAL TO 4 YRS AGAINST CURRENT DATE BUT LESS THAN OR EQUAL TO 4 MNTHS</t>
  </si>
  <si>
    <t>RAW:AL</t>
  </si>
  <si>
    <t>LTC</t>
  </si>
  <si>
    <t>LC</t>
  </si>
  <si>
    <t>TOTAL NUMBER OF SKILLPOOL</t>
  </si>
  <si>
    <t>TC</t>
  </si>
  <si>
    <t>TOTAL NUMBER OF EMPLOYEE (LOCAL TERM CONTRACT)</t>
  </si>
  <si>
    <t>RAW:AL:AM</t>
  </si>
  <si>
    <t>TOTAL NUMBER OF EMPLOYEE (LOCAL TERM CONTRACT &lt; 7 MNTHS CE)</t>
  </si>
  <si>
    <t>TOTAL NUMBER OF EMPLOYEE (EXP &lt; 7 MNTHS CE)</t>
  </si>
  <si>
    <t>LTC LESS THAN OR EQUAL TO 7 MNTHS CONTRACT EXPIRED</t>
  </si>
  <si>
    <t>TC LESS THAN OR EQUAL TO 7 MNTHS CONTRACT EXPIRED</t>
  </si>
  <si>
    <t>TOTAL NUMBER OF EMPLOYEE (EXP)</t>
  </si>
  <si>
    <t>METRIC CHART</t>
  </si>
  <si>
    <t>KPI</t>
  </si>
  <si>
    <t>DONUT CHART</t>
  </si>
  <si>
    <t>KPI &amp; DATA VISUAL</t>
  </si>
  <si>
    <t>GRADUATE</t>
  </si>
  <si>
    <t>HORIZONTAL BAR CHART</t>
  </si>
  <si>
    <t>TOTAL NUMBER OF RETIREMENT EMPLOYEE VS YEAR</t>
  </si>
  <si>
    <t>TOTAL NUMBER OF EXPATRIATE</t>
  </si>
  <si>
    <t>TOTAL NUMBER OF GENDER (MALE VS FEMALE)</t>
  </si>
  <si>
    <t>TITLE</t>
  </si>
  <si>
    <t>DESCRIPTION</t>
  </si>
  <si>
    <t>WORKPERMIT
(EXPATRIATE - IBAS/OTHER)</t>
  </si>
  <si>
    <t>TOTAL NUMBER OF SECONDEE</t>
  </si>
  <si>
    <t>GRADUATE:D</t>
  </si>
  <si>
    <t>TOTAL NUMBER OF SGP IN CURRENT YEAR</t>
  </si>
  <si>
    <t>TOTAL NUMBER OF SGP EXIT IN CURRENT YEAR</t>
  </si>
  <si>
    <t>GRADUATE:D:H</t>
  </si>
  <si>
    <t>TOTAL NUMBER OF SATP IN CURRENT YEAR</t>
  </si>
  <si>
    <t>TOTAL NUMBER OF SATP EXIT IN CURRENT YEAR</t>
  </si>
  <si>
    <t>GRADUATE:D:K</t>
  </si>
  <si>
    <t>PROMOTION STATUS (XX VS ACTUAL)</t>
  </si>
  <si>
    <t>PROMOTION:XX:D</t>
  </si>
  <si>
    <t>HALF DONUT CHART</t>
  </si>
  <si>
    <t>TOTAL NUMBER OF OFFBOARDING (LEAVING)</t>
  </si>
  <si>
    <t>TOTAL NUMBER OF OFFBOARDING (COMPLETED/IN-PROGRESS/PENDING)</t>
  </si>
  <si>
    <t>Directorate</t>
  </si>
  <si>
    <t>Position Abbreviation</t>
  </si>
  <si>
    <t>Position Identification</t>
  </si>
  <si>
    <t>Position Name</t>
  </si>
  <si>
    <t>Holder's Name</t>
  </si>
  <si>
    <t>Personnel Number</t>
  </si>
  <si>
    <t>Position Start Date</t>
  </si>
  <si>
    <t>Position End Date</t>
  </si>
  <si>
    <t>Temp Position End Date</t>
  </si>
  <si>
    <t>Position Type</t>
  </si>
  <si>
    <t>Job Identification</t>
  </si>
  <si>
    <t>Job Title</t>
  </si>
  <si>
    <t>Job Group</t>
  </si>
  <si>
    <t>Position Vacancy Status</t>
  </si>
  <si>
    <t>Job Skill Pool ID</t>
  </si>
  <si>
    <t>Job Skill Pool Description</t>
  </si>
  <si>
    <t>Emp. Skill Pool</t>
  </si>
  <si>
    <t>Emp Skill Pool Description</t>
  </si>
  <si>
    <t>CEP</t>
  </si>
  <si>
    <t>Start Date Of Vacancy</t>
  </si>
  <si>
    <t>End Date Of Vacancy</t>
  </si>
  <si>
    <t>Remarks</t>
  </si>
  <si>
    <t>Reporting To (Position ID)</t>
  </si>
  <si>
    <t>Reporting To (Position Description)</t>
  </si>
  <si>
    <t>Supervisor's Name</t>
  </si>
  <si>
    <t>Date of Birth</t>
  </si>
  <si>
    <t>Age</t>
  </si>
  <si>
    <t>Gender</t>
  </si>
  <si>
    <t>Marital Status</t>
  </si>
  <si>
    <t>Race</t>
  </si>
  <si>
    <t>Nationality</t>
  </si>
  <si>
    <t>Residence Status</t>
  </si>
  <si>
    <t>Employee Group</t>
  </si>
  <si>
    <t>Employee Subgroup</t>
  </si>
  <si>
    <t>Contract Expiry</t>
  </si>
  <si>
    <t>Date To Job Group</t>
  </si>
  <si>
    <t>Salary Group</t>
  </si>
  <si>
    <t>Date To Salary Group</t>
  </si>
  <si>
    <t>Date To BSP</t>
  </si>
  <si>
    <t>Date To Position</t>
  </si>
  <si>
    <t>Job Banding</t>
  </si>
  <si>
    <t>Normal Retirement Date</t>
  </si>
  <si>
    <t>Date To Group</t>
  </si>
  <si>
    <t>Work Permit End Date</t>
  </si>
  <si>
    <t>Employment Pass Date</t>
  </si>
  <si>
    <t>Base Country Code</t>
  </si>
  <si>
    <t>Base Country Name</t>
  </si>
  <si>
    <t>Base Company Code</t>
  </si>
  <si>
    <t>Base Company Name</t>
  </si>
  <si>
    <t>Email Address</t>
  </si>
  <si>
    <t>User ID</t>
  </si>
  <si>
    <t>HSSE Critical</t>
  </si>
  <si>
    <t>Front Line Barrier Management</t>
  </si>
  <si>
    <t>IDP Availability Date</t>
  </si>
  <si>
    <t>WS rule</t>
  </si>
  <si>
    <t>Work Schedule Rule</t>
  </si>
  <si>
    <t>AD</t>
  </si>
  <si>
    <t>AES</t>
  </si>
  <si>
    <t>In-progress</t>
  </si>
  <si>
    <t>E</t>
  </si>
  <si>
    <t>3</t>
  </si>
  <si>
    <t>Filled</t>
  </si>
  <si>
    <t>CEP of JG 2-1</t>
  </si>
  <si>
    <t>Male</t>
  </si>
  <si>
    <t>Marr.</t>
  </si>
  <si>
    <t>Caucasian</t>
  </si>
  <si>
    <t>Non-Citizen</t>
  </si>
  <si>
    <t>Expatriate - IBAS</t>
  </si>
  <si>
    <t>SG6-1</t>
  </si>
  <si>
    <t>NORM08A1</t>
  </si>
  <si>
    <t>completed</t>
  </si>
  <si>
    <t>2</t>
  </si>
  <si>
    <t>Chinese</t>
  </si>
  <si>
    <t>Malaysian</t>
  </si>
  <si>
    <t>MY</t>
  </si>
  <si>
    <t>Malaysia</t>
  </si>
  <si>
    <t>1222</t>
  </si>
  <si>
    <t>ALD</t>
  </si>
  <si>
    <t>5</t>
  </si>
  <si>
    <t>Aircraft</t>
  </si>
  <si>
    <t>CEP Not applicable</t>
  </si>
  <si>
    <t>Expatriate - Other</t>
  </si>
  <si>
    <t>TC SG6-1</t>
  </si>
  <si>
    <t>GB</t>
  </si>
  <si>
    <t>5030</t>
  </si>
  <si>
    <t>T</t>
  </si>
  <si>
    <t>Maintenance, Reliability and Turnarounds</t>
  </si>
  <si>
    <t>NL</t>
  </si>
  <si>
    <t>AOS</t>
  </si>
  <si>
    <t>OSC1</t>
  </si>
  <si>
    <t>Wells Fluid</t>
  </si>
  <si>
    <t>Wells Fluid Lead</t>
  </si>
  <si>
    <t>Heu Tieng Soon</t>
  </si>
  <si>
    <t>Well Fluids Chemist JG3</t>
  </si>
  <si>
    <t>Production Technology and Prod Chemistry</t>
  </si>
  <si>
    <t>Head of Production Chemistry</t>
  </si>
  <si>
    <t>Michael Stephen Turner</t>
  </si>
  <si>
    <t>BNTH00</t>
  </si>
  <si>
    <t>31.03.2026</t>
  </si>
  <si>
    <t>LDA3</t>
  </si>
  <si>
    <t>Training &amp; Opns Standards</t>
  </si>
  <si>
    <t>LDA31</t>
  </si>
  <si>
    <t>Line Training &amp; Type Tech Pilot</t>
  </si>
  <si>
    <t>Rupert Kaile</t>
  </si>
  <si>
    <t>Pending</t>
  </si>
  <si>
    <t>Logistics Aviation Captain JG3</t>
  </si>
  <si>
    <t>Head of Training &amp; Ops Standards</t>
  </si>
  <si>
    <t>Roland Clemens Fennis</t>
  </si>
  <si>
    <t>Canadian</t>
  </si>
  <si>
    <t>CA</t>
  </si>
  <si>
    <t>Canada</t>
  </si>
  <si>
    <t>BNRKA7</t>
  </si>
  <si>
    <t>X</t>
  </si>
  <si>
    <t>19.07.2023</t>
  </si>
  <si>
    <t>Asset</t>
  </si>
  <si>
    <t>Unit Key</t>
  </si>
  <si>
    <t>Unit Abbrevation</t>
  </si>
  <si>
    <t>Unit Description</t>
  </si>
  <si>
    <t>RAW:BJ</t>
  </si>
  <si>
    <t>TOTAL NUMBER OF FILLED ENTRY</t>
  </si>
  <si>
    <t>COMPARISON VISUALIZATION AND NUMBER BETWEEN COMPLETED, IN-PROGRESS AND PENDING</t>
  </si>
  <si>
    <t>Action Date</t>
  </si>
  <si>
    <t>Action</t>
  </si>
  <si>
    <t>Personal Number</t>
  </si>
  <si>
    <t>Name</t>
  </si>
  <si>
    <t>Personal Location</t>
  </si>
  <si>
    <t>Subarea</t>
  </si>
  <si>
    <t>EE group</t>
  </si>
  <si>
    <t>EESubgroup</t>
  </si>
  <si>
    <t>New organization</t>
  </si>
  <si>
    <t>New position</t>
  </si>
  <si>
    <t>New job</t>
  </si>
  <si>
    <t>Old organization</t>
  </si>
  <si>
    <t>Old position</t>
  </si>
  <si>
    <t>Old job</t>
  </si>
  <si>
    <t>01.01.2025</t>
  </si>
  <si>
    <t>Promotion</t>
  </si>
  <si>
    <t>adila</t>
  </si>
  <si>
    <t>Offshore</t>
  </si>
  <si>
    <t>Shift - 18hrs</t>
  </si>
  <si>
    <t>Regulartaro</t>
  </si>
  <si>
    <t>SG6-2</t>
  </si>
  <si>
    <t>MFX124</t>
  </si>
  <si>
    <t>MFX1241</t>
  </si>
  <si>
    <t>InsLdTchJG6</t>
  </si>
  <si>
    <t>XX IS A FIXED VALUE INPUT BY USER</t>
  </si>
  <si>
    <t>No</t>
  </si>
  <si>
    <t>Ref Id</t>
  </si>
  <si>
    <t>SGP Discipline</t>
  </si>
  <si>
    <t>SGP Framework Duration (Mths)</t>
  </si>
  <si>
    <t>Date of SGP Exit</t>
  </si>
  <si>
    <t>SATP Discipline</t>
  </si>
  <si>
    <t>SATP Framework Duration (Mths)</t>
  </si>
  <si>
    <t>Date of SATP Exit</t>
  </si>
  <si>
    <t>TD</t>
  </si>
  <si>
    <t>DVX11</t>
  </si>
  <si>
    <t>Siti Munirah Ali Hamzah</t>
  </si>
  <si>
    <t>Petroleum Engineering</t>
  </si>
  <si>
    <t>DVX41</t>
  </si>
  <si>
    <t>Norsu'aidah Abdullah Sumardi</t>
  </si>
  <si>
    <t>DVX61</t>
  </si>
  <si>
    <t>Mohammad Nazirul Syafiqaiman Md Jaini</t>
  </si>
  <si>
    <t>Rotating Equipment Engineering</t>
  </si>
  <si>
    <t>Expatriate Assignment End Date</t>
  </si>
  <si>
    <t>Offboarding Status</t>
  </si>
  <si>
    <t>Asset Directorate</t>
  </si>
  <si>
    <t>Asset Director</t>
  </si>
  <si>
    <t>Asset Director JGB</t>
  </si>
  <si>
    <t>B</t>
  </si>
  <si>
    <t>Production Operations</t>
  </si>
  <si>
    <t>General Management Country</t>
  </si>
  <si>
    <t>CEP not yet assessed</t>
  </si>
  <si>
    <t>Managing Director</t>
  </si>
  <si>
    <t>Female</t>
  </si>
  <si>
    <t>Others</t>
  </si>
  <si>
    <t>Nigerian</t>
  </si>
  <si>
    <t>NG</t>
  </si>
  <si>
    <t>Nigeria</t>
  </si>
  <si>
    <t>1831</t>
  </si>
  <si>
    <t>SHELL NIGERIA E &amp; P COMPANY LTD</t>
  </si>
  <si>
    <t>BNEA05</t>
  </si>
  <si>
    <t>AD0</t>
  </si>
  <si>
    <t>AD Secretary</t>
  </si>
  <si>
    <t>Technical Assistant JG7</t>
  </si>
  <si>
    <t>7</t>
  </si>
  <si>
    <t>Business Administration and Support</t>
  </si>
  <si>
    <t>CEP of JG6 and below</t>
  </si>
  <si>
    <t>Malay</t>
  </si>
  <si>
    <t>Brunei</t>
  </si>
  <si>
    <t>Citizen</t>
  </si>
  <si>
    <t>Regular</t>
  </si>
  <si>
    <t>SG8-7</t>
  </si>
  <si>
    <t>BN</t>
  </si>
  <si>
    <t>SENOH1</t>
  </si>
  <si>
    <t>01.01.2022</t>
  </si>
  <si>
    <t>ESR9</t>
  </si>
  <si>
    <t>Central and Onshore Reliability</t>
  </si>
  <si>
    <t>Central and Onshore Reliability Lead</t>
  </si>
  <si>
    <t>Reliability Engineer JG3</t>
  </si>
  <si>
    <t>Head of Reliability</t>
  </si>
  <si>
    <t>1198</t>
  </si>
  <si>
    <t>SHELL CANADA LIMITED</t>
  </si>
  <si>
    <t>BNRW00</t>
  </si>
  <si>
    <t>01.06.2027</t>
  </si>
  <si>
    <t>Asset Engineering Services</t>
  </si>
  <si>
    <t>UUL10</t>
  </si>
  <si>
    <t>Unpaid Leave</t>
  </si>
  <si>
    <t>Surface Smart Field JG4</t>
  </si>
  <si>
    <t>4</t>
  </si>
  <si>
    <t>Open</t>
  </si>
  <si>
    <t>Head of Capability &amp; People</t>
  </si>
  <si>
    <t>ESN4</t>
  </si>
  <si>
    <t>Process Engineering</t>
  </si>
  <si>
    <t>WRFM Process Lead</t>
  </si>
  <si>
    <t>PE – Operations Support JG3</t>
  </si>
  <si>
    <t>Proc Eng  Oil &amp; Gas Production Systems</t>
  </si>
  <si>
    <t>Head Process Engineering</t>
  </si>
  <si>
    <t>ESN42</t>
  </si>
  <si>
    <t>Process Engineer</t>
  </si>
  <si>
    <t>Process Engineering - SATP JG5</t>
  </si>
  <si>
    <t>ESP1</t>
  </si>
  <si>
    <t>Pipeline Integrity</t>
  </si>
  <si>
    <t>ESP13</t>
  </si>
  <si>
    <t>Pipeline Integrity Engineer</t>
  </si>
  <si>
    <t>Pipeline Engineer Asset JG5</t>
  </si>
  <si>
    <t>Disc Eng Pipelines</t>
  </si>
  <si>
    <t>Pipeline Integrity Lead</t>
  </si>
  <si>
    <t>Kar Cheong Ho</t>
  </si>
  <si>
    <t>ESN2</t>
  </si>
  <si>
    <t>ESN21</t>
  </si>
  <si>
    <t>Sr Process Engineer</t>
  </si>
  <si>
    <t>Melissa On Wei Li</t>
  </si>
  <si>
    <t>PE – Operations Support JG4</t>
  </si>
  <si>
    <t>Process Lead West</t>
  </si>
  <si>
    <t>BNMON4</t>
  </si>
  <si>
    <t>ESN22</t>
  </si>
  <si>
    <t>Khoo De Wenn</t>
  </si>
  <si>
    <t>Single</t>
  </si>
  <si>
    <t>BNDKH3</t>
  </si>
  <si>
    <t>30.06.2026</t>
  </si>
  <si>
    <t>ESN23</t>
  </si>
  <si>
    <t>BNSR02</t>
  </si>
  <si>
    <t>31.12.2028</t>
  </si>
  <si>
    <t>ESN3</t>
  </si>
  <si>
    <t>Process Lead Onshore</t>
  </si>
  <si>
    <t>Lim Shu Shan</t>
  </si>
  <si>
    <t>Permanent Resident</t>
  </si>
  <si>
    <t>LTC SG6-1</t>
  </si>
  <si>
    <t>BNSLIH</t>
  </si>
  <si>
    <t>30.06.2023</t>
  </si>
  <si>
    <t>LDA</t>
  </si>
  <si>
    <t>Aircraft Services</t>
  </si>
  <si>
    <t>UCP7</t>
  </si>
  <si>
    <t>LTIA - Netherlands</t>
  </si>
  <si>
    <t>D</t>
  </si>
  <si>
    <t>Chief Pilot JG3</t>
  </si>
  <si>
    <t>Head of Aircraft Services</t>
  </si>
  <si>
    <t>Khanan Munusamy Venugopal</t>
  </si>
  <si>
    <t>Expatriate - Out</t>
  </si>
  <si>
    <t>BNMRA0</t>
  </si>
  <si>
    <t>LDA2</t>
  </si>
  <si>
    <t>Chief Pilot</t>
  </si>
  <si>
    <t>LDA211</t>
  </si>
  <si>
    <t>Line Pilot</t>
  </si>
  <si>
    <t>Dyg Siti Saffawana Awg Hj Suhaili</t>
  </si>
  <si>
    <t>Dutch</t>
  </si>
  <si>
    <t>6-3</t>
  </si>
  <si>
    <t>BNWVA5</t>
  </si>
  <si>
    <t>European</t>
  </si>
  <si>
    <t>BNGF00</t>
  </si>
  <si>
    <t>LDA413</t>
  </si>
  <si>
    <t>Licenced Aircraft Engineering</t>
  </si>
  <si>
    <t>Licensed Aircraft Engineer B1</t>
  </si>
  <si>
    <t>Logistics Aviation Maint CAT B JG4</t>
  </si>
  <si>
    <t>Aircraft Engineer Shift Lead</t>
  </si>
  <si>
    <t>Isa Hj Jaya</t>
  </si>
  <si>
    <t>Indian</t>
  </si>
  <si>
    <t>5-4</t>
  </si>
  <si>
    <t>IN</t>
  </si>
  <si>
    <t>BNDPE9</t>
  </si>
  <si>
    <t>PTBZ41D1</t>
  </si>
  <si>
    <t>Plus (Broken) 4/4 Crew A1</t>
  </si>
  <si>
    <t>LDA412</t>
  </si>
  <si>
    <t>Mohd Taufik Bin Musa</t>
  </si>
  <si>
    <t>Ak Samsul Bahri Pg Shahminan</t>
  </si>
  <si>
    <t>BNMMU8</t>
  </si>
  <si>
    <t>PTAZ41D1</t>
  </si>
  <si>
    <t>AOF</t>
  </si>
  <si>
    <t>OFW</t>
  </si>
  <si>
    <t>West Operations</t>
  </si>
  <si>
    <t>UCP2</t>
  </si>
  <si>
    <t>LTIA - PDO</t>
  </si>
  <si>
    <t>Progm/PSO Head Production Support JG3</t>
  </si>
  <si>
    <t>CEP of JG LC</t>
  </si>
  <si>
    <t>West Production Operations Manager</t>
  </si>
  <si>
    <t>BNKAB8</t>
  </si>
  <si>
    <t>01.03.2021</t>
  </si>
  <si>
    <t>OSR</t>
  </si>
  <si>
    <t>Operations Readiness &amp; Assurance</t>
  </si>
  <si>
    <t>Head of Operations Readiness &amp; Assurance</t>
  </si>
  <si>
    <t>Evgenii Chulkov</t>
  </si>
  <si>
    <t>Operations Readiness JG2</t>
  </si>
  <si>
    <t>Asset Operations Services Manager</t>
  </si>
  <si>
    <t>Russian</t>
  </si>
  <si>
    <t>1832</t>
  </si>
  <si>
    <t>BNEC00</t>
  </si>
  <si>
    <t>01.01.2027</t>
  </si>
  <si>
    <t>Asset Operations Services</t>
  </si>
  <si>
    <t>AOS0</t>
  </si>
  <si>
    <t>Team Assistant</t>
  </si>
  <si>
    <t>IT Service Delivery &amp; Support</t>
  </si>
  <si>
    <t>8</t>
  </si>
  <si>
    <t>BNNHAE</t>
  </si>
  <si>
    <t>OSC</t>
  </si>
  <si>
    <t>Production Chemistry</t>
  </si>
  <si>
    <t>Chief Production Chemist JG2</t>
  </si>
  <si>
    <t>Irish</t>
  </si>
  <si>
    <t>1153</t>
  </si>
  <si>
    <t>BNMTU0</t>
  </si>
  <si>
    <t>XX value</t>
  </si>
  <si>
    <t>Tin Manufacturer Sdn Bhd</t>
  </si>
  <si>
    <t>Plastic Distributor Company</t>
  </si>
  <si>
    <t>Global Marketing China</t>
  </si>
  <si>
    <t>China</t>
  </si>
  <si>
    <t>Thailand</t>
  </si>
  <si>
    <t>AN</t>
  </si>
  <si>
    <t>CN</t>
  </si>
  <si>
    <t>XXXXX@GLOBAL.COM</t>
  </si>
  <si>
    <t>Normal</t>
  </si>
  <si>
    <t>Alex John</t>
  </si>
  <si>
    <t>Alberto Madison</t>
  </si>
  <si>
    <t>Akmal Khan</t>
  </si>
  <si>
    <t>Alif Azziz</t>
  </si>
  <si>
    <t>Levin Ang</t>
  </si>
  <si>
    <t>Rafli Basit</t>
  </si>
  <si>
    <t>Mahani Rouland</t>
  </si>
  <si>
    <t>Tarip Abdullah</t>
  </si>
  <si>
    <t>Siti Suhaila Jais</t>
  </si>
  <si>
    <t>Michael Tuner</t>
  </si>
  <si>
    <t>Damit Besar</t>
  </si>
  <si>
    <t>Richard Broand</t>
  </si>
  <si>
    <t>Rizal Marrof</t>
  </si>
  <si>
    <t>Wouter Van</t>
  </si>
  <si>
    <t>Heinrich Fiddelke</t>
  </si>
  <si>
    <t>Dylan Pereira</t>
  </si>
  <si>
    <t>Hj Mohammad Bakar</t>
  </si>
  <si>
    <t>Nur-Inani Haji Awang</t>
  </si>
  <si>
    <t>Michael Stephen</t>
  </si>
  <si>
    <t>Mohd Ismail Hj Abd Sidi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</si>
</sst>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dd\/mmm\/yyyy"/>
    <numFmt numFmtId="166" formatCode="[$-409]d\/mmm\/yy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3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164" fontId="5" fillId="0" borderId="0" xfId="1"/>
    <xf numFmtId="0" fontId="1" fillId="4" borderId="1" xfId="2" applyFont="1" applyFill="1" applyBorder="1" applyAlignment="1">
      <alignment vertical="top"/>
    </xf>
    <xf numFmtId="0" fontId="7" fillId="0" borderId="1" xfId="2" applyFont="1" applyBorder="1" applyAlignment="1">
      <alignment vertical="top"/>
    </xf>
    <xf numFmtId="0" fontId="1" fillId="4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top"/>
    </xf>
    <xf numFmtId="0" fontId="7" fillId="0" borderId="1" xfId="2" applyFont="1" applyBorder="1" applyAlignment="1">
      <alignment horizontal="left" vertical="top"/>
    </xf>
    <xf numFmtId="166" fontId="7" fillId="0" borderId="1" xfId="2" applyNumberFormat="1" applyFont="1" applyBorder="1" applyAlignment="1">
      <alignment horizontal="center" vertical="top"/>
    </xf>
    <xf numFmtId="0" fontId="7" fillId="0" borderId="1" xfId="0" applyFont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166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5" fillId="0" borderId="0" xfId="0" applyFont="1"/>
    <xf numFmtId="0" fontId="1" fillId="4" borderId="5" xfId="2" applyFont="1" applyFill="1" applyBorder="1" applyAlignment="1">
      <alignment vertical="top"/>
    </xf>
    <xf numFmtId="0" fontId="8" fillId="0" borderId="0" xfId="0" applyFont="1" applyFill="1"/>
  </cellXfs>
  <cellStyles count="3">
    <cellStyle name="date_style" xfId="1" xr:uid="{5278466B-5CA8-4910-998B-5190FB6C38AD}"/>
    <cellStyle name="Normal" xfId="0" builtinId="0"/>
    <cellStyle name="Normal 2" xfId="2" xr:uid="{B48A851B-FDF1-4390-BB77-1FC6B235C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FE7E9-99BD-4D3A-92D3-3FDBF3EAC546}" name="RAW" displayName="RAW" ref="A1:BJ23">
  <autoFilter ref="A1:BJ23" xr:uid="{340FE7E9-99BD-4D3A-92D3-3FDBF3EAC546}"/>
  <tableColumns count="62">
    <tableColumn id="1" xr3:uid="{F2A309FE-D962-48C9-9902-0D3C559DAEA1}" name="Directorate"/>
    <tableColumn id="2" xr3:uid="{5E3131E5-F349-42B3-8730-C0EFD3433D67}" name="Asset"/>
    <tableColumn id="3" xr3:uid="{5968735A-4F35-4606-8E42-1596EA88FEA5}" name="Unit Key"/>
    <tableColumn id="4" xr3:uid="{D70DE609-D54E-4D1A-A558-659C3CBD2DF3}" name="Unit Abbrevation"/>
    <tableColumn id="5" xr3:uid="{A63AD6AC-67C1-418E-9189-3D0B920115C9}" name="Unit Description"/>
    <tableColumn id="6" xr3:uid="{3989E067-5861-47C4-A742-EAE44CA5A955}" name="Position Abbreviation"/>
    <tableColumn id="7" xr3:uid="{3BF8EF14-7823-4239-967A-51B8A2FF0D89}" name="Position Identification"/>
    <tableColumn id="8" xr3:uid="{C105B40A-5E60-45E2-820B-55501991FACD}" name="Position Name"/>
    <tableColumn id="9" xr3:uid="{3B331B0A-3FF5-4EBA-BF98-E74893E378C3}" name="Holder's Name"/>
    <tableColumn id="10" xr3:uid="{9A4361DE-56AB-4A7F-91EF-8CCBBC5E0B2F}" name="Personnel Number"/>
    <tableColumn id="11" xr3:uid="{1A59EE19-7607-45E6-82BE-6E7DC1C3878F}" name="Position Start Date"/>
    <tableColumn id="12" xr3:uid="{447887F2-18D5-4D88-A45C-E474DBEA2B9D}" name="Position End Date"/>
    <tableColumn id="13" xr3:uid="{801F4A06-474B-437F-9EEE-F3D9A2CB5377}" name="Temp Position End Date"/>
    <tableColumn id="14" xr3:uid="{A33D7F38-14FB-459E-A656-644DBF9E93DA}" name="Position Type"/>
    <tableColumn id="15" xr3:uid="{E0463722-00FB-46CC-89FA-2B0DF8DD29FD}" name="Job Identification"/>
    <tableColumn id="16" xr3:uid="{E0FE546D-3F9E-4DB4-A94F-69C1EBE86616}" name="Job Title"/>
    <tableColumn id="17" xr3:uid="{EB35A603-819D-44B3-91A8-7AD2986CA13B}" name="Job Group"/>
    <tableColumn id="18" xr3:uid="{AEDDA186-5E70-4B49-92E1-C2FAEC5E3476}" name="Position Vacancy Status"/>
    <tableColumn id="19" xr3:uid="{7480262F-AD08-4DFB-93DE-5C8F083CEC99}" name="Job Skill Pool ID"/>
    <tableColumn id="20" xr3:uid="{99AD97C1-3DB6-4342-A951-7423B1B51D8E}" name="Job Skill Pool Description"/>
    <tableColumn id="21" xr3:uid="{14547A38-3F83-40AC-A8E2-15CB9D923C50}" name="Emp. Skill Pool"/>
    <tableColumn id="22" xr3:uid="{137F62C4-5E36-453E-BECF-A16639937D5D}" name="Emp Skill Pool Description"/>
    <tableColumn id="23" xr3:uid="{28B63B08-C3DC-47F0-8DD8-403F8AF25F1A}" name="CEP"/>
    <tableColumn id="24" xr3:uid="{A785FC8E-7D0F-40FA-8819-73ADE33F3AF8}" name="Start Date Of Vacancy"/>
    <tableColumn id="25" xr3:uid="{ADA27BA9-B578-414F-BCE0-2278AE7B2167}" name="End Date Of Vacancy"/>
    <tableColumn id="26" xr3:uid="{1E4042D5-D452-4A46-B669-6054C7053FF0}" name="Remarks"/>
    <tableColumn id="27" xr3:uid="{0FF3F1DE-C9E9-4158-933D-2C9AD3D19C93}" name="Reporting To (Position ID)"/>
    <tableColumn id="28" xr3:uid="{1D600C97-8A73-49A6-8F3C-771E190DB3CF}" name="Reporting To (Position Description)"/>
    <tableColumn id="29" xr3:uid="{1EA547A2-5CBA-4195-90EC-67724F75778A}" name="Supervisor's Name"/>
    <tableColumn id="30" xr3:uid="{04E19431-ADA4-4749-B061-DCFE886533EF}" name="Date of Birth"/>
    <tableColumn id="31" xr3:uid="{58026320-88C0-4173-9BF2-1C25721C8763}" name="Age"/>
    <tableColumn id="32" xr3:uid="{009E341B-19F9-4862-B1D5-EDCFDF9D8159}" name="Gender"/>
    <tableColumn id="33" xr3:uid="{67F44D1F-388B-40EE-AA81-8744248816BB}" name="Marital Status"/>
    <tableColumn id="34" xr3:uid="{6305D565-A3AD-4E0E-ACD7-4691E423989D}" name="Race"/>
    <tableColumn id="35" xr3:uid="{0E363785-CB56-4649-8290-32E193D5BC9C}" name="Nationality"/>
    <tableColumn id="36" xr3:uid="{F9B98861-55DA-4A53-9E8D-CD8B56150AA5}" name="Residence Status"/>
    <tableColumn id="37" xr3:uid="{8D23825D-5912-4D01-A52F-4245E864ACEB}" name="Employee Group"/>
    <tableColumn id="38" xr3:uid="{843A1D3C-0944-4E89-91B9-2A3614FC52FB}" name="Employee Subgroup"/>
    <tableColumn id="39" xr3:uid="{59FB6ED6-52F3-4F8B-9619-6F545AA147EB}" name="Contract Expiry"/>
    <tableColumn id="40" xr3:uid="{958EA805-46BF-4A31-B33F-D5BCBB91DE69}" name="Date To Job Group"/>
    <tableColumn id="41" xr3:uid="{4FF0B5B2-5151-420B-961B-886D783EB1A5}" name="Salary Group"/>
    <tableColumn id="42" xr3:uid="{E8F6E7C4-8D48-4733-BB3E-59B3B2BC1C7E}" name="Date To Salary Group"/>
    <tableColumn id="43" xr3:uid="{02769E18-A5E2-4BF9-A377-880E00E658C9}" name="Date To BSP"/>
    <tableColumn id="44" xr3:uid="{58D610F6-8F06-4F04-BD10-AE1D0F8EE57B}" name="Date To Position"/>
    <tableColumn id="45" xr3:uid="{C8D7600F-3FA4-4A0E-8BFC-5A94B40A98D1}" name="Job Banding"/>
    <tableColumn id="46" xr3:uid="{F0ADEC89-6F58-4A20-B2D3-D32CE8515EFD}" name="Normal Retirement Date"/>
    <tableColumn id="47" xr3:uid="{DCEDA2DD-2488-466C-9E93-7ADF78E3AAD6}" name="Date To Group"/>
    <tableColumn id="48" xr3:uid="{BABBCC80-9660-4506-ABD3-A99A365A9B5C}" name="Work Permit End Date"/>
    <tableColumn id="49" xr3:uid="{C2EF822F-AF76-4CAA-8047-0BCAFA078E15}" name="Employment Pass Date"/>
    <tableColumn id="50" xr3:uid="{683020C4-8343-470D-920C-F7FDCDCF547E}" name="Base Country Code"/>
    <tableColumn id="51" xr3:uid="{453E84C4-84C6-45C1-B4F7-E8D1BDC9F0AD}" name="Base Country Name"/>
    <tableColumn id="52" xr3:uid="{5FF6724A-12F3-4D86-862F-4D6734568D25}" name="Base Company Code"/>
    <tableColumn id="53" xr3:uid="{A74D9078-DBAD-4A50-8532-2B0731E81FFD}" name="Base Company Name"/>
    <tableColumn id="54" xr3:uid="{B2BDFC82-4468-48A7-99D5-ED2ADFCEEEE5}" name="Email Address"/>
    <tableColumn id="55" xr3:uid="{9CA057BC-F2D9-4D1A-8E8F-01425A6D98A6}" name="User ID"/>
    <tableColumn id="56" xr3:uid="{B2CC9089-D5AC-4C09-98F0-92BF45197C2E}" name="HSSE Critical"/>
    <tableColumn id="57" xr3:uid="{4AC69F46-1C11-45B6-8064-66622C210DC0}" name="Front Line Barrier Management"/>
    <tableColumn id="58" xr3:uid="{28FC2A01-2689-4B06-BA02-4FBD25F0BA73}" name="Expatriate Assignment End Date"/>
    <tableColumn id="59" xr3:uid="{889AF22C-F164-4033-9324-9D0719E20CD8}" name="IDP Availability Date"/>
    <tableColumn id="60" xr3:uid="{C990E5A0-07CA-4664-BF5F-79B895CAEDFA}" name="WS rule"/>
    <tableColumn id="61" xr3:uid="{85BB3F41-58B8-475D-8762-60D7F0A5CCF2}" name="Work Schedule Rule"/>
    <tableColumn id="62" xr3:uid="{0B9F8E22-9FFF-4512-BF22-A9BB18518AB9}" name="Offboarding Status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552-B331-4EFF-88CF-1EAFCA0B4BD5}">
  <dimension ref="B3:F32"/>
  <sheetViews>
    <sheetView tabSelected="1" workbookViewId="0">
      <selection activeCell="B37" sqref="B37"/>
    </sheetView>
  </sheetViews>
  <sheetFormatPr defaultRowHeight="15" x14ac:dyDescent="0.25"/>
  <cols>
    <col min="2" max="2" width="22.28515625" bestFit="1" customWidth="1"/>
    <col min="3" max="3" width="58.28515625" bestFit="1" customWidth="1"/>
    <col min="4" max="4" width="20" style="3" bestFit="1" customWidth="1"/>
    <col min="5" max="5" width="16.28515625" style="3" bestFit="1" customWidth="1"/>
    <col min="6" max="6" width="73.28515625" bestFit="1" customWidth="1"/>
  </cols>
  <sheetData>
    <row r="3" spans="2:6" x14ac:dyDescent="0.25">
      <c r="B3" s="2" t="s">
        <v>54</v>
      </c>
      <c r="C3" s="1" t="s">
        <v>55</v>
      </c>
      <c r="D3" s="2" t="s">
        <v>13</v>
      </c>
      <c r="E3" s="2" t="s">
        <v>12</v>
      </c>
      <c r="F3" s="1" t="s">
        <v>18</v>
      </c>
    </row>
    <row r="4" spans="2:6" s="7" customFormat="1" ht="12.75" x14ac:dyDescent="0.2">
      <c r="B4" s="5" t="s">
        <v>5</v>
      </c>
      <c r="C4" s="4" t="s">
        <v>3</v>
      </c>
      <c r="D4" s="6" t="s">
        <v>50</v>
      </c>
      <c r="E4" s="6" t="s">
        <v>9</v>
      </c>
      <c r="F4" s="4"/>
    </row>
    <row r="5" spans="2:6" s="7" customFormat="1" ht="12.75" x14ac:dyDescent="0.2">
      <c r="B5" s="8"/>
      <c r="C5" s="4" t="s">
        <v>2</v>
      </c>
      <c r="D5" s="6" t="s">
        <v>45</v>
      </c>
      <c r="E5" s="6" t="s">
        <v>11</v>
      </c>
      <c r="F5" s="4" t="s">
        <v>51</v>
      </c>
    </row>
    <row r="6" spans="2:6" s="7" customFormat="1" ht="12.75" x14ac:dyDescent="0.2">
      <c r="B6" s="8"/>
      <c r="C6" s="4" t="s">
        <v>0</v>
      </c>
      <c r="D6" s="6" t="s">
        <v>46</v>
      </c>
      <c r="E6" s="6" t="s">
        <v>14</v>
      </c>
      <c r="F6" s="4"/>
    </row>
    <row r="7" spans="2:6" s="7" customFormat="1" ht="12.75" x14ac:dyDescent="0.2">
      <c r="B7" s="8"/>
      <c r="C7" s="4" t="s">
        <v>1</v>
      </c>
      <c r="D7" s="6" t="s">
        <v>46</v>
      </c>
      <c r="E7" s="6" t="s">
        <v>15</v>
      </c>
      <c r="F7" s="4" t="s">
        <v>19</v>
      </c>
    </row>
    <row r="8" spans="2:6" s="7" customFormat="1" ht="12.75" x14ac:dyDescent="0.2">
      <c r="B8" s="8"/>
      <c r="C8" s="4" t="s">
        <v>57</v>
      </c>
      <c r="D8" s="6" t="s">
        <v>46</v>
      </c>
      <c r="E8" s="6" t="s">
        <v>15</v>
      </c>
      <c r="F8" s="4" t="s">
        <v>20</v>
      </c>
    </row>
    <row r="9" spans="2:6" s="7" customFormat="1" ht="12.75" x14ac:dyDescent="0.2">
      <c r="B9" s="8"/>
      <c r="C9" s="4" t="s">
        <v>52</v>
      </c>
      <c r="D9" s="6" t="s">
        <v>46</v>
      </c>
      <c r="E9" s="6" t="s">
        <v>15</v>
      </c>
      <c r="F9" s="4" t="s">
        <v>21</v>
      </c>
    </row>
    <row r="10" spans="2:6" s="7" customFormat="1" ht="12.75" x14ac:dyDescent="0.2">
      <c r="B10" s="8"/>
      <c r="C10" s="4" t="s">
        <v>53</v>
      </c>
      <c r="D10" s="6" t="s">
        <v>47</v>
      </c>
      <c r="E10" s="6" t="s">
        <v>16</v>
      </c>
      <c r="F10" s="4" t="s">
        <v>22</v>
      </c>
    </row>
    <row r="11" spans="2:6" s="7" customFormat="1" ht="12.75" x14ac:dyDescent="0.2">
      <c r="B11" s="9"/>
      <c r="C11" s="4" t="s">
        <v>4</v>
      </c>
      <c r="D11" s="6" t="s">
        <v>46</v>
      </c>
      <c r="E11" s="6" t="s">
        <v>14</v>
      </c>
      <c r="F11" s="4" t="s">
        <v>17</v>
      </c>
    </row>
    <row r="12" spans="2:6" s="7" customFormat="1" ht="12.75" x14ac:dyDescent="0.2">
      <c r="B12" s="4"/>
      <c r="C12" s="4"/>
      <c r="D12" s="6"/>
      <c r="E12" s="6"/>
      <c r="F12" s="4"/>
    </row>
    <row r="13" spans="2:6" s="7" customFormat="1" ht="12.75" customHeight="1" x14ac:dyDescent="0.2">
      <c r="B13" s="10" t="s">
        <v>56</v>
      </c>
      <c r="C13" s="4" t="s">
        <v>24</v>
      </c>
      <c r="D13" s="6" t="s">
        <v>46</v>
      </c>
      <c r="E13" s="6" t="s">
        <v>23</v>
      </c>
      <c r="F13" s="4" t="s">
        <v>29</v>
      </c>
    </row>
    <row r="14" spans="2:6" s="7" customFormat="1" ht="12.75" x14ac:dyDescent="0.2">
      <c r="B14" s="11"/>
      <c r="C14" s="4" t="s">
        <v>25</v>
      </c>
      <c r="D14" s="6" t="s">
        <v>48</v>
      </c>
      <c r="E14" s="6" t="s">
        <v>26</v>
      </c>
      <c r="F14" s="4" t="s">
        <v>30</v>
      </c>
    </row>
    <row r="15" spans="2:6" s="7" customFormat="1" ht="12.75" x14ac:dyDescent="0.2">
      <c r="B15" s="11"/>
      <c r="C15" s="4" t="s">
        <v>27</v>
      </c>
      <c r="D15" s="6" t="s">
        <v>46</v>
      </c>
      <c r="E15" s="6" t="s">
        <v>23</v>
      </c>
      <c r="F15" s="4" t="s">
        <v>28</v>
      </c>
    </row>
    <row r="16" spans="2:6" s="7" customFormat="1" ht="12.75" x14ac:dyDescent="0.2">
      <c r="B16" s="11"/>
      <c r="C16" s="4" t="s">
        <v>31</v>
      </c>
      <c r="D16" s="6" t="s">
        <v>48</v>
      </c>
      <c r="E16" s="6" t="s">
        <v>26</v>
      </c>
      <c r="F16" s="4" t="s">
        <v>32</v>
      </c>
    </row>
    <row r="17" spans="2:6" s="7" customFormat="1" ht="12.75" x14ac:dyDescent="0.2">
      <c r="B17" s="11"/>
      <c r="C17" s="4" t="s">
        <v>68</v>
      </c>
      <c r="D17" s="13" t="s">
        <v>46</v>
      </c>
      <c r="E17" s="13" t="s">
        <v>188</v>
      </c>
      <c r="F17" s="14" t="s">
        <v>189</v>
      </c>
    </row>
    <row r="18" spans="2:6" s="7" customFormat="1" ht="12.75" x14ac:dyDescent="0.2">
      <c r="B18" s="12"/>
      <c r="C18" s="4" t="s">
        <v>69</v>
      </c>
      <c r="D18" s="6" t="s">
        <v>47</v>
      </c>
      <c r="E18" s="13" t="s">
        <v>188</v>
      </c>
      <c r="F18" s="14" t="s">
        <v>190</v>
      </c>
    </row>
    <row r="19" spans="2:6" s="7" customFormat="1" ht="12.75" x14ac:dyDescent="0.2">
      <c r="B19" s="4"/>
      <c r="C19" s="4"/>
      <c r="D19" s="6"/>
      <c r="E19" s="6"/>
      <c r="F19" s="4"/>
    </row>
    <row r="20" spans="2:6" s="7" customFormat="1" ht="12.75" x14ac:dyDescent="0.2">
      <c r="B20" s="5" t="s">
        <v>6</v>
      </c>
      <c r="C20" s="4" t="s">
        <v>38</v>
      </c>
      <c r="D20" s="6" t="s">
        <v>46</v>
      </c>
      <c r="E20" s="6" t="s">
        <v>33</v>
      </c>
      <c r="F20" s="4" t="s">
        <v>34</v>
      </c>
    </row>
    <row r="21" spans="2:6" s="7" customFormat="1" ht="12.75" x14ac:dyDescent="0.2">
      <c r="B21" s="8"/>
      <c r="C21" s="4" t="s">
        <v>40</v>
      </c>
      <c r="D21" s="6" t="s">
        <v>48</v>
      </c>
      <c r="E21" s="6" t="s">
        <v>39</v>
      </c>
      <c r="F21" s="4" t="s">
        <v>42</v>
      </c>
    </row>
    <row r="22" spans="2:6" s="7" customFormat="1" ht="12.75" x14ac:dyDescent="0.2">
      <c r="B22" s="8"/>
      <c r="C22" s="4" t="s">
        <v>44</v>
      </c>
      <c r="D22" s="6" t="s">
        <v>46</v>
      </c>
      <c r="E22" s="6" t="s">
        <v>33</v>
      </c>
      <c r="F22" s="4" t="s">
        <v>37</v>
      </c>
    </row>
    <row r="23" spans="2:6" s="7" customFormat="1" ht="12.75" x14ac:dyDescent="0.2">
      <c r="B23" s="9"/>
      <c r="C23" s="4" t="s">
        <v>41</v>
      </c>
      <c r="D23" s="6" t="s">
        <v>48</v>
      </c>
      <c r="E23" s="6" t="s">
        <v>39</v>
      </c>
      <c r="F23" s="4" t="s">
        <v>43</v>
      </c>
    </row>
    <row r="24" spans="2:6" s="7" customFormat="1" ht="12.75" x14ac:dyDescent="0.2">
      <c r="B24" s="4"/>
      <c r="C24" s="4"/>
      <c r="D24" s="6"/>
      <c r="E24" s="6"/>
      <c r="F24" s="4"/>
    </row>
    <row r="25" spans="2:6" s="7" customFormat="1" ht="12.75" x14ac:dyDescent="0.2">
      <c r="B25" s="6" t="s">
        <v>7</v>
      </c>
      <c r="C25" s="4" t="s">
        <v>36</v>
      </c>
      <c r="D25" s="6" t="s">
        <v>50</v>
      </c>
      <c r="E25" s="6" t="s">
        <v>10</v>
      </c>
      <c r="F25" s="4"/>
    </row>
    <row r="26" spans="2:6" s="7" customFormat="1" ht="12.75" x14ac:dyDescent="0.2">
      <c r="B26" s="4"/>
      <c r="C26" s="4"/>
      <c r="D26" s="6"/>
      <c r="E26" s="6"/>
      <c r="F26" s="4"/>
    </row>
    <row r="27" spans="2:6" s="7" customFormat="1" ht="12.75" x14ac:dyDescent="0.2">
      <c r="B27" s="5" t="s">
        <v>49</v>
      </c>
      <c r="C27" s="4" t="s">
        <v>59</v>
      </c>
      <c r="D27" s="6" t="s">
        <v>46</v>
      </c>
      <c r="E27" s="6" t="s">
        <v>58</v>
      </c>
      <c r="F27" s="4"/>
    </row>
    <row r="28" spans="2:6" s="7" customFormat="1" ht="12.75" x14ac:dyDescent="0.2">
      <c r="B28" s="8"/>
      <c r="C28" s="4" t="s">
        <v>60</v>
      </c>
      <c r="D28" s="6" t="s">
        <v>48</v>
      </c>
      <c r="E28" s="6" t="s">
        <v>61</v>
      </c>
      <c r="F28" s="4"/>
    </row>
    <row r="29" spans="2:6" s="7" customFormat="1" ht="12.75" x14ac:dyDescent="0.2">
      <c r="B29" s="8"/>
      <c r="C29" s="4" t="s">
        <v>62</v>
      </c>
      <c r="D29" s="6" t="s">
        <v>46</v>
      </c>
      <c r="E29" s="6" t="s">
        <v>58</v>
      </c>
      <c r="F29" s="4"/>
    </row>
    <row r="30" spans="2:6" s="7" customFormat="1" ht="12.75" x14ac:dyDescent="0.2">
      <c r="B30" s="9"/>
      <c r="C30" s="4" t="s">
        <v>63</v>
      </c>
      <c r="D30" s="6" t="s">
        <v>48</v>
      </c>
      <c r="E30" s="6" t="s">
        <v>64</v>
      </c>
      <c r="F30" s="4"/>
    </row>
    <row r="31" spans="2:6" s="7" customFormat="1" ht="12.75" x14ac:dyDescent="0.2">
      <c r="B31" s="4"/>
      <c r="C31" s="4"/>
      <c r="D31" s="6"/>
      <c r="E31" s="6"/>
      <c r="F31" s="4"/>
    </row>
    <row r="32" spans="2:6" s="7" customFormat="1" ht="12.75" x14ac:dyDescent="0.2">
      <c r="B32" s="6" t="s">
        <v>8</v>
      </c>
      <c r="C32" s="4" t="s">
        <v>65</v>
      </c>
      <c r="D32" s="13" t="s">
        <v>67</v>
      </c>
      <c r="E32" s="13" t="s">
        <v>66</v>
      </c>
      <c r="F32" s="14" t="s">
        <v>215</v>
      </c>
    </row>
  </sheetData>
  <mergeCells count="4">
    <mergeCell ref="B4:B11"/>
    <mergeCell ref="B20:B23"/>
    <mergeCell ref="B27:B30"/>
    <mergeCell ref="B13:B18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5D6B-77B9-421C-986A-7DD90DE67CB1}">
  <dimension ref="A1:BJ23"/>
  <sheetViews>
    <sheetView workbookViewId="0">
      <selection activeCell="A15" sqref="A15"/>
    </sheetView>
  </sheetViews>
  <sheetFormatPr defaultRowHeight="15" x14ac:dyDescent="0.25"/>
  <cols>
    <col min="1" max="1" width="13.5703125" customWidth="1"/>
    <col min="2" max="2" width="8.42578125" bestFit="1" customWidth="1"/>
    <col min="3" max="3" width="11" bestFit="1" customWidth="1"/>
    <col min="4" max="4" width="18.7109375" bestFit="1" customWidth="1"/>
    <col min="5" max="5" width="29" bestFit="1" customWidth="1"/>
    <col min="6" max="6" width="22.85546875" bestFit="1" customWidth="1"/>
    <col min="7" max="7" width="23.28515625" bestFit="1" customWidth="1"/>
    <col min="8" max="8" width="35.85546875" bestFit="1" customWidth="1"/>
    <col min="9" max="9" width="32.5703125" bestFit="1" customWidth="1"/>
    <col min="10" max="10" width="20.28515625" bestFit="1" customWidth="1"/>
    <col min="11" max="11" width="20.140625" bestFit="1" customWidth="1"/>
    <col min="12" max="12" width="19" bestFit="1" customWidth="1"/>
    <col min="13" max="13" width="24.7109375" bestFit="1" customWidth="1"/>
    <col min="14" max="14" width="15.42578125" bestFit="1" customWidth="1"/>
    <col min="15" max="15" width="18.85546875" bestFit="1" customWidth="1"/>
    <col min="16" max="16" width="32.7109375" bestFit="1" customWidth="1"/>
    <col min="17" max="17" width="12.42578125" bestFit="1" customWidth="1"/>
    <col min="18" max="18" width="24.42578125" bestFit="1" customWidth="1"/>
    <col min="19" max="19" width="17.28515625" bestFit="1" customWidth="1"/>
    <col min="20" max="20" width="34.85546875" bestFit="1" customWidth="1"/>
    <col min="21" max="21" width="16.42578125" bestFit="1" customWidth="1"/>
    <col min="22" max="22" width="34.85546875" bestFit="1" customWidth="1"/>
    <col min="23" max="23" width="17.5703125" bestFit="1" customWidth="1"/>
    <col min="24" max="24" width="22.7109375" bestFit="1" customWidth="1"/>
    <col min="25" max="25" width="21.5703125" bestFit="1" customWidth="1"/>
    <col min="26" max="26" width="11.140625" bestFit="1" customWidth="1"/>
    <col min="27" max="27" width="26.42578125" bestFit="1" customWidth="1"/>
    <col min="28" max="28" width="35" bestFit="1" customWidth="1"/>
    <col min="29" max="29" width="28.85546875" bestFit="1" customWidth="1"/>
    <col min="30" max="30" width="14.7109375" bestFit="1" customWidth="1"/>
    <col min="31" max="31" width="7" bestFit="1" customWidth="1"/>
    <col min="32" max="32" width="10.140625" bestFit="1" customWidth="1"/>
    <col min="33" max="33" width="15.7109375" bestFit="1" customWidth="1"/>
    <col min="34" max="34" width="9" bestFit="1" customWidth="1"/>
    <col min="35" max="35" width="13.140625" bestFit="1" customWidth="1"/>
    <col min="36" max="36" width="18.42578125" bestFit="1" customWidth="1"/>
    <col min="37" max="37" width="18.28515625" bestFit="1" customWidth="1"/>
    <col min="38" max="38" width="21.28515625" bestFit="1" customWidth="1"/>
    <col min="39" max="39" width="16.85546875" bestFit="1" customWidth="1"/>
    <col min="40" max="40" width="19.7109375" bestFit="1" customWidth="1"/>
    <col min="41" max="41" width="14.5703125" bestFit="1" customWidth="1"/>
    <col min="42" max="42" width="22" bestFit="1" customWidth="1"/>
    <col min="43" max="43" width="14" bestFit="1" customWidth="1"/>
    <col min="44" max="44" width="17.85546875" bestFit="1" customWidth="1"/>
    <col min="45" max="45" width="13.85546875" bestFit="1" customWidth="1"/>
    <col min="46" max="46" width="25.7109375" bestFit="1" customWidth="1"/>
    <col min="47" max="47" width="16.140625" bestFit="1" customWidth="1"/>
    <col min="48" max="48" width="23.42578125" bestFit="1" customWidth="1"/>
    <col min="49" max="49" width="23.85546875" bestFit="1" customWidth="1"/>
    <col min="50" max="50" width="20.140625" bestFit="1" customWidth="1"/>
    <col min="51" max="51" width="21" bestFit="1" customWidth="1"/>
    <col min="52" max="52" width="21.42578125" bestFit="1" customWidth="1"/>
    <col min="53" max="53" width="44.85546875" bestFit="1" customWidth="1"/>
    <col min="54" max="54" width="31.28515625" bestFit="1" customWidth="1"/>
    <col min="55" max="55" width="9.85546875" bestFit="1" customWidth="1"/>
    <col min="56" max="56" width="14.140625" bestFit="1" customWidth="1"/>
    <col min="57" max="57" width="31.7109375" bestFit="1" customWidth="1"/>
    <col min="58" max="58" width="32.140625" bestFit="1" customWidth="1"/>
    <col min="59" max="59" width="21.5703125" bestFit="1" customWidth="1"/>
    <col min="60" max="60" width="10.42578125" bestFit="1" customWidth="1"/>
    <col min="61" max="61" width="21.42578125" bestFit="1" customWidth="1"/>
    <col min="62" max="62" width="20.140625" bestFit="1" customWidth="1"/>
  </cols>
  <sheetData>
    <row r="1" spans="1:62" x14ac:dyDescent="0.25">
      <c r="A1" s="15" t="s">
        <v>70</v>
      </c>
      <c r="B1" s="15" t="s">
        <v>184</v>
      </c>
      <c r="C1" s="15" t="s">
        <v>185</v>
      </c>
      <c r="D1" s="15" t="s">
        <v>186</v>
      </c>
      <c r="E1" s="15" t="s">
        <v>187</v>
      </c>
      <c r="F1" s="15" t="s">
        <v>71</v>
      </c>
      <c r="G1" s="15" t="s">
        <v>72</v>
      </c>
      <c r="H1" s="15" t="s">
        <v>73</v>
      </c>
      <c r="I1" s="15" t="s">
        <v>74</v>
      </c>
      <c r="J1" s="15" t="s">
        <v>75</v>
      </c>
      <c r="K1" s="15" t="s">
        <v>76</v>
      </c>
      <c r="L1" s="15" t="s">
        <v>77</v>
      </c>
      <c r="M1" s="15" t="s">
        <v>78</v>
      </c>
      <c r="N1" s="15" t="s">
        <v>79</v>
      </c>
      <c r="O1" s="15" t="s">
        <v>80</v>
      </c>
      <c r="P1" s="15" t="s">
        <v>81</v>
      </c>
      <c r="Q1" s="15" t="s">
        <v>82</v>
      </c>
      <c r="R1" s="15" t="s">
        <v>83</v>
      </c>
      <c r="S1" s="15" t="s">
        <v>84</v>
      </c>
      <c r="T1" s="15" t="s">
        <v>85</v>
      </c>
      <c r="U1" s="15" t="s">
        <v>86</v>
      </c>
      <c r="V1" s="15" t="s">
        <v>87</v>
      </c>
      <c r="W1" s="15" t="s">
        <v>88</v>
      </c>
      <c r="X1" s="15" t="s">
        <v>89</v>
      </c>
      <c r="Y1" s="15" t="s">
        <v>90</v>
      </c>
      <c r="Z1" s="15" t="s">
        <v>91</v>
      </c>
      <c r="AA1" s="15" t="s">
        <v>92</v>
      </c>
      <c r="AB1" s="15" t="s">
        <v>93</v>
      </c>
      <c r="AC1" s="15" t="s">
        <v>94</v>
      </c>
      <c r="AD1" s="15" t="s">
        <v>95</v>
      </c>
      <c r="AE1" s="15" t="s">
        <v>96</v>
      </c>
      <c r="AF1" s="15" t="s">
        <v>97</v>
      </c>
      <c r="AG1" s="15" t="s">
        <v>98</v>
      </c>
      <c r="AH1" s="15" t="s">
        <v>99</v>
      </c>
      <c r="AI1" s="15" t="s">
        <v>100</v>
      </c>
      <c r="AJ1" s="15" t="s">
        <v>101</v>
      </c>
      <c r="AK1" s="15" t="s">
        <v>102</v>
      </c>
      <c r="AL1" s="15" t="s">
        <v>103</v>
      </c>
      <c r="AM1" s="15" t="s">
        <v>104</v>
      </c>
      <c r="AN1" s="15" t="s">
        <v>105</v>
      </c>
      <c r="AO1" s="15" t="s">
        <v>106</v>
      </c>
      <c r="AP1" s="15" t="s">
        <v>107</v>
      </c>
      <c r="AQ1" s="15" t="s">
        <v>108</v>
      </c>
      <c r="AR1" s="15" t="s">
        <v>109</v>
      </c>
      <c r="AS1" s="15" t="s">
        <v>110</v>
      </c>
      <c r="AT1" s="15" t="s">
        <v>111</v>
      </c>
      <c r="AU1" s="15" t="s">
        <v>112</v>
      </c>
      <c r="AV1" s="15" t="s">
        <v>113</v>
      </c>
      <c r="AW1" s="15" t="s">
        <v>114</v>
      </c>
      <c r="AX1" s="15" t="s">
        <v>115</v>
      </c>
      <c r="AY1" s="15" t="s">
        <v>116</v>
      </c>
      <c r="AZ1" s="15" t="s">
        <v>117</v>
      </c>
      <c r="BA1" s="15" t="s">
        <v>118</v>
      </c>
      <c r="BB1" s="15" t="s">
        <v>119</v>
      </c>
      <c r="BC1" s="15" t="s">
        <v>120</v>
      </c>
      <c r="BD1" s="15" t="s">
        <v>121</v>
      </c>
      <c r="BE1" s="15" t="s">
        <v>122</v>
      </c>
      <c r="BF1" s="15" t="s">
        <v>233</v>
      </c>
      <c r="BG1" s="15" t="s">
        <v>123</v>
      </c>
      <c r="BH1" s="15" t="s">
        <v>124</v>
      </c>
      <c r="BI1" s="15" t="s">
        <v>125</v>
      </c>
      <c r="BJ1" t="s">
        <v>234</v>
      </c>
    </row>
    <row r="2" spans="1:62" x14ac:dyDescent="0.25">
      <c r="A2" s="30" t="s">
        <v>126</v>
      </c>
      <c r="B2" s="30" t="s">
        <v>126</v>
      </c>
      <c r="C2" s="30">
        <v>50005600</v>
      </c>
      <c r="D2" s="30" t="s">
        <v>126</v>
      </c>
      <c r="E2" s="30" t="s">
        <v>235</v>
      </c>
      <c r="F2" s="30" t="s">
        <v>126</v>
      </c>
      <c r="G2" s="30">
        <v>50003075</v>
      </c>
      <c r="H2" s="30" t="s">
        <v>236</v>
      </c>
      <c r="I2" s="30" t="s">
        <v>408</v>
      </c>
      <c r="J2" s="30">
        <v>1004994</v>
      </c>
      <c r="K2" s="16">
        <v>1</v>
      </c>
      <c r="L2" s="16"/>
      <c r="M2" s="16"/>
      <c r="N2" s="30" t="s">
        <v>129</v>
      </c>
      <c r="O2" s="30">
        <v>50006395</v>
      </c>
      <c r="P2" s="30" t="s">
        <v>237</v>
      </c>
      <c r="Q2" s="30" t="s">
        <v>238</v>
      </c>
      <c r="R2" s="30" t="s">
        <v>131</v>
      </c>
      <c r="S2" s="30">
        <v>50012401</v>
      </c>
      <c r="T2" s="30" t="s">
        <v>239</v>
      </c>
      <c r="U2" s="30">
        <v>50012383</v>
      </c>
      <c r="V2" s="30" t="s">
        <v>240</v>
      </c>
      <c r="W2" s="30" t="s">
        <v>241</v>
      </c>
      <c r="X2" s="16"/>
      <c r="Y2" s="16"/>
      <c r="Z2" s="30"/>
      <c r="AA2" s="30">
        <v>50004850</v>
      </c>
      <c r="AB2" s="30" t="s">
        <v>242</v>
      </c>
      <c r="AC2" s="30" t="s">
        <v>399</v>
      </c>
      <c r="AD2" s="16">
        <v>27214</v>
      </c>
      <c r="AE2" s="30">
        <v>51</v>
      </c>
      <c r="AF2" s="30" t="s">
        <v>243</v>
      </c>
      <c r="AG2" s="30" t="s">
        <v>134</v>
      </c>
      <c r="AH2" s="30" t="s">
        <v>244</v>
      </c>
      <c r="AI2" s="30" t="s">
        <v>245</v>
      </c>
      <c r="AJ2" s="30" t="s">
        <v>136</v>
      </c>
      <c r="AK2" s="30" t="s">
        <v>137</v>
      </c>
      <c r="AL2" s="30" t="s">
        <v>35</v>
      </c>
      <c r="AM2" s="16"/>
      <c r="AN2" s="16">
        <v>45566</v>
      </c>
      <c r="AO2" s="30" t="s">
        <v>238</v>
      </c>
      <c r="AP2" s="16">
        <v>44409</v>
      </c>
      <c r="AQ2" s="16">
        <v>45566</v>
      </c>
      <c r="AR2" s="16">
        <v>45566</v>
      </c>
      <c r="AS2" s="30"/>
      <c r="AT2" s="16">
        <v>49129</v>
      </c>
      <c r="AU2" s="16">
        <v>37368</v>
      </c>
      <c r="AV2" s="16">
        <v>46234</v>
      </c>
      <c r="AW2" s="16">
        <v>46234</v>
      </c>
      <c r="AX2" s="30" t="s">
        <v>246</v>
      </c>
      <c r="AY2" s="30" t="s">
        <v>247</v>
      </c>
      <c r="AZ2" s="30" t="s">
        <v>248</v>
      </c>
      <c r="BA2" s="30" t="s">
        <v>249</v>
      </c>
      <c r="BB2" s="32" t="s">
        <v>397</v>
      </c>
      <c r="BC2" s="30" t="s">
        <v>250</v>
      </c>
      <c r="BD2" s="30" t="s">
        <v>182</v>
      </c>
      <c r="BE2" s="30"/>
      <c r="BF2" s="16">
        <v>47026</v>
      </c>
      <c r="BG2" s="16"/>
      <c r="BH2" s="30" t="s">
        <v>139</v>
      </c>
      <c r="BI2" s="30" t="s">
        <v>398</v>
      </c>
      <c r="BJ2" s="16" t="s">
        <v>128</v>
      </c>
    </row>
    <row r="3" spans="1:62" x14ac:dyDescent="0.25">
      <c r="A3" s="30" t="s">
        <v>126</v>
      </c>
      <c r="B3" s="30" t="s">
        <v>126</v>
      </c>
      <c r="C3" s="30">
        <v>50005600</v>
      </c>
      <c r="D3" s="30" t="s">
        <v>126</v>
      </c>
      <c r="E3" s="30" t="s">
        <v>235</v>
      </c>
      <c r="F3" s="30" t="s">
        <v>251</v>
      </c>
      <c r="G3" s="30">
        <v>50003076</v>
      </c>
      <c r="H3" s="30" t="s">
        <v>252</v>
      </c>
      <c r="I3" s="30" t="s">
        <v>409</v>
      </c>
      <c r="J3" s="30">
        <v>647050</v>
      </c>
      <c r="K3" s="16">
        <v>1</v>
      </c>
      <c r="L3" s="16"/>
      <c r="M3" s="16"/>
      <c r="N3" s="30" t="s">
        <v>129</v>
      </c>
      <c r="O3" s="30">
        <v>50039065</v>
      </c>
      <c r="P3" s="30" t="s">
        <v>253</v>
      </c>
      <c r="Q3" s="30" t="s">
        <v>254</v>
      </c>
      <c r="R3" s="30" t="s">
        <v>131</v>
      </c>
      <c r="S3" s="30">
        <v>50012401</v>
      </c>
      <c r="T3" s="30" t="s">
        <v>239</v>
      </c>
      <c r="U3" s="30">
        <v>50012312</v>
      </c>
      <c r="V3" s="30" t="s">
        <v>255</v>
      </c>
      <c r="W3" s="30" t="s">
        <v>256</v>
      </c>
      <c r="X3" s="16"/>
      <c r="Y3" s="16"/>
      <c r="Z3" s="30"/>
      <c r="AA3" s="30">
        <v>50003075</v>
      </c>
      <c r="AB3" s="30" t="s">
        <v>236</v>
      </c>
      <c r="AC3" s="30" t="s">
        <v>400</v>
      </c>
      <c r="AD3" s="16">
        <v>25986</v>
      </c>
      <c r="AE3" s="30">
        <v>54</v>
      </c>
      <c r="AF3" s="30" t="s">
        <v>243</v>
      </c>
      <c r="AG3" s="30" t="s">
        <v>134</v>
      </c>
      <c r="AH3" s="30" t="s">
        <v>257</v>
      </c>
      <c r="AI3" s="30" t="s">
        <v>143</v>
      </c>
      <c r="AJ3" s="30" t="s">
        <v>259</v>
      </c>
      <c r="AK3" s="30" t="s">
        <v>260</v>
      </c>
      <c r="AL3" s="30" t="s">
        <v>261</v>
      </c>
      <c r="AM3" s="16"/>
      <c r="AN3" s="16">
        <v>42948</v>
      </c>
      <c r="AO3" s="30" t="s">
        <v>254</v>
      </c>
      <c r="AP3" s="16">
        <v>42948</v>
      </c>
      <c r="AQ3" s="16">
        <v>33623</v>
      </c>
      <c r="AR3" s="16">
        <v>42948</v>
      </c>
      <c r="AS3" s="30"/>
      <c r="AT3" s="16">
        <v>47901</v>
      </c>
      <c r="AU3" s="16">
        <v>33623</v>
      </c>
      <c r="AV3" s="16"/>
      <c r="AW3" s="16"/>
      <c r="AX3" s="30" t="s">
        <v>262</v>
      </c>
      <c r="AY3" s="30" t="s">
        <v>145</v>
      </c>
      <c r="AZ3" s="30" t="s">
        <v>154</v>
      </c>
      <c r="BA3" s="30" t="s">
        <v>390</v>
      </c>
      <c r="BB3" s="32" t="s">
        <v>397</v>
      </c>
      <c r="BC3" s="30" t="s">
        <v>263</v>
      </c>
      <c r="BD3" s="30"/>
      <c r="BE3" s="30"/>
      <c r="BF3" s="16"/>
      <c r="BG3" s="16" t="s">
        <v>264</v>
      </c>
      <c r="BH3" s="30" t="s">
        <v>139</v>
      </c>
      <c r="BI3" s="30" t="s">
        <v>398</v>
      </c>
      <c r="BJ3" s="16" t="s">
        <v>140</v>
      </c>
    </row>
    <row r="4" spans="1:62" x14ac:dyDescent="0.25">
      <c r="A4" s="30" t="s">
        <v>126</v>
      </c>
      <c r="B4" s="30" t="s">
        <v>127</v>
      </c>
      <c r="C4" s="30">
        <v>50058301</v>
      </c>
      <c r="D4" s="30" t="s">
        <v>265</v>
      </c>
      <c r="E4" s="30" t="s">
        <v>266</v>
      </c>
      <c r="F4" s="30" t="s">
        <v>265</v>
      </c>
      <c r="G4" s="30">
        <v>50002283</v>
      </c>
      <c r="H4" s="30" t="s">
        <v>267</v>
      </c>
      <c r="I4" s="30" t="s">
        <v>410</v>
      </c>
      <c r="J4" s="30">
        <v>1004830</v>
      </c>
      <c r="K4" s="16">
        <v>45290</v>
      </c>
      <c r="L4" s="16"/>
      <c r="M4" s="16"/>
      <c r="N4" s="30" t="s">
        <v>129</v>
      </c>
      <c r="O4" s="30">
        <v>50027990</v>
      </c>
      <c r="P4" s="30" t="s">
        <v>268</v>
      </c>
      <c r="Q4" s="30" t="s">
        <v>130</v>
      </c>
      <c r="R4" s="30" t="s">
        <v>131</v>
      </c>
      <c r="S4" s="30">
        <v>50012400</v>
      </c>
      <c r="T4" s="30" t="s">
        <v>156</v>
      </c>
      <c r="U4" s="30">
        <v>50012400</v>
      </c>
      <c r="V4" s="30" t="s">
        <v>156</v>
      </c>
      <c r="W4" s="30" t="s">
        <v>150</v>
      </c>
      <c r="X4" s="16"/>
      <c r="Y4" s="16"/>
      <c r="Z4" s="30"/>
      <c r="AA4" s="30">
        <v>50053899</v>
      </c>
      <c r="AB4" s="30" t="s">
        <v>269</v>
      </c>
      <c r="AC4" s="30"/>
      <c r="AD4" s="16">
        <v>29148</v>
      </c>
      <c r="AE4" s="30">
        <v>46</v>
      </c>
      <c r="AF4" s="30" t="s">
        <v>133</v>
      </c>
      <c r="AG4" s="30" t="s">
        <v>134</v>
      </c>
      <c r="AH4" s="30" t="s">
        <v>244</v>
      </c>
      <c r="AI4" s="30" t="s">
        <v>178</v>
      </c>
      <c r="AJ4" s="30" t="s">
        <v>136</v>
      </c>
      <c r="AK4" s="30" t="s">
        <v>137</v>
      </c>
      <c r="AL4" s="30" t="s">
        <v>138</v>
      </c>
      <c r="AM4" s="16"/>
      <c r="AN4" s="16">
        <v>45151</v>
      </c>
      <c r="AO4" s="30" t="s">
        <v>130</v>
      </c>
      <c r="AP4" s="16">
        <v>43891</v>
      </c>
      <c r="AQ4" s="16">
        <v>45151</v>
      </c>
      <c r="AR4" s="16">
        <v>45151</v>
      </c>
      <c r="AS4" s="30"/>
      <c r="AT4" s="16">
        <v>51063</v>
      </c>
      <c r="AU4" s="16">
        <v>39449</v>
      </c>
      <c r="AV4" s="16">
        <v>46537</v>
      </c>
      <c r="AW4" s="16">
        <v>46537</v>
      </c>
      <c r="AX4" s="30" t="s">
        <v>179</v>
      </c>
      <c r="AY4" s="30" t="s">
        <v>180</v>
      </c>
      <c r="AZ4" s="30" t="s">
        <v>270</v>
      </c>
      <c r="BA4" s="30" t="s">
        <v>271</v>
      </c>
      <c r="BB4" s="32" t="s">
        <v>397</v>
      </c>
      <c r="BC4" s="30" t="s">
        <v>272</v>
      </c>
      <c r="BD4" s="30"/>
      <c r="BE4" s="30"/>
      <c r="BF4" s="16">
        <v>46611</v>
      </c>
      <c r="BG4" s="16" t="s">
        <v>273</v>
      </c>
      <c r="BH4" s="30" t="s">
        <v>139</v>
      </c>
      <c r="BI4" s="30" t="s">
        <v>398</v>
      </c>
      <c r="BJ4" s="16" t="s">
        <v>140</v>
      </c>
    </row>
    <row r="5" spans="1:62" x14ac:dyDescent="0.25">
      <c r="A5" s="30" t="s">
        <v>126</v>
      </c>
      <c r="B5" s="30" t="s">
        <v>127</v>
      </c>
      <c r="C5" s="30">
        <v>50058303</v>
      </c>
      <c r="D5" s="30" t="s">
        <v>127</v>
      </c>
      <c r="E5" s="30" t="s">
        <v>274</v>
      </c>
      <c r="F5" s="30" t="s">
        <v>275</v>
      </c>
      <c r="G5" s="30">
        <v>50057473</v>
      </c>
      <c r="H5" s="30" t="s">
        <v>276</v>
      </c>
      <c r="I5" s="30"/>
      <c r="J5" s="30">
        <v>0</v>
      </c>
      <c r="K5" s="16">
        <v>45231</v>
      </c>
      <c r="L5" s="16"/>
      <c r="M5" s="16">
        <v>46325</v>
      </c>
      <c r="N5" s="30" t="s">
        <v>155</v>
      </c>
      <c r="O5" s="30">
        <v>50040151</v>
      </c>
      <c r="P5" s="30" t="s">
        <v>277</v>
      </c>
      <c r="Q5" s="30" t="s">
        <v>278</v>
      </c>
      <c r="R5" s="30" t="s">
        <v>279</v>
      </c>
      <c r="S5" s="30">
        <v>50012401</v>
      </c>
      <c r="T5" s="30" t="s">
        <v>239</v>
      </c>
      <c r="U5" s="30">
        <v>0</v>
      </c>
      <c r="V5" s="30"/>
      <c r="W5" s="30"/>
      <c r="X5" s="16">
        <v>45957</v>
      </c>
      <c r="Y5" s="16"/>
      <c r="Z5" s="30"/>
      <c r="AA5" s="30">
        <v>50002087</v>
      </c>
      <c r="AB5" s="30" t="s">
        <v>280</v>
      </c>
      <c r="AC5" s="30" t="s">
        <v>401</v>
      </c>
      <c r="AD5" s="16"/>
      <c r="AE5" s="30">
        <v>0</v>
      </c>
      <c r="AF5" s="30"/>
      <c r="AG5" s="30"/>
      <c r="AH5" s="30"/>
      <c r="AI5" s="30"/>
      <c r="AJ5" s="30"/>
      <c r="AK5" s="30"/>
      <c r="AL5" s="30"/>
      <c r="AM5" s="16"/>
      <c r="AN5" s="16"/>
      <c r="AO5" s="30"/>
      <c r="AP5" s="16"/>
      <c r="AQ5" s="16"/>
      <c r="AR5" s="16"/>
      <c r="AS5" s="30"/>
      <c r="AT5" s="16"/>
      <c r="AU5" s="16"/>
      <c r="AV5" s="16"/>
      <c r="AW5" s="16"/>
      <c r="AX5" s="30"/>
      <c r="AY5" s="30"/>
      <c r="AZ5" s="30"/>
      <c r="BA5" s="30"/>
      <c r="BB5" s="30"/>
      <c r="BC5" s="30"/>
      <c r="BD5" s="30"/>
      <c r="BE5" s="30"/>
      <c r="BF5" s="16"/>
      <c r="BG5" s="16"/>
      <c r="BH5" s="30"/>
      <c r="BI5" s="30"/>
      <c r="BJ5" s="16" t="s">
        <v>128</v>
      </c>
    </row>
    <row r="6" spans="1:62" x14ac:dyDescent="0.25">
      <c r="A6" s="30" t="s">
        <v>126</v>
      </c>
      <c r="B6" s="30" t="s">
        <v>127</v>
      </c>
      <c r="C6" s="30">
        <v>50058347</v>
      </c>
      <c r="D6" s="30" t="s">
        <v>281</v>
      </c>
      <c r="E6" s="30" t="s">
        <v>282</v>
      </c>
      <c r="F6" s="30" t="s">
        <v>281</v>
      </c>
      <c r="G6" s="30">
        <v>50003976</v>
      </c>
      <c r="H6" s="30" t="s">
        <v>283</v>
      </c>
      <c r="I6" s="30"/>
      <c r="J6" s="30">
        <v>0</v>
      </c>
      <c r="K6" s="16">
        <v>45290</v>
      </c>
      <c r="L6" s="16"/>
      <c r="M6" s="16"/>
      <c r="N6" s="30" t="s">
        <v>129</v>
      </c>
      <c r="O6" s="30">
        <v>50028314</v>
      </c>
      <c r="P6" s="30" t="s">
        <v>284</v>
      </c>
      <c r="Q6" s="30" t="s">
        <v>130</v>
      </c>
      <c r="R6" s="30" t="s">
        <v>279</v>
      </c>
      <c r="S6" s="30">
        <v>50012356</v>
      </c>
      <c r="T6" s="30" t="s">
        <v>285</v>
      </c>
      <c r="U6" s="30">
        <v>0</v>
      </c>
      <c r="V6" s="30"/>
      <c r="W6" s="30"/>
      <c r="X6" s="16">
        <v>45992</v>
      </c>
      <c r="Y6" s="16">
        <v>46053</v>
      </c>
      <c r="Z6" s="30"/>
      <c r="AA6" s="30">
        <v>50021085</v>
      </c>
      <c r="AB6" s="30" t="s">
        <v>286</v>
      </c>
      <c r="AC6" s="30" t="s">
        <v>402</v>
      </c>
      <c r="AD6" s="16"/>
      <c r="AE6" s="30">
        <v>0</v>
      </c>
      <c r="AF6" s="30"/>
      <c r="AG6" s="30"/>
      <c r="AH6" s="30"/>
      <c r="AI6" s="30"/>
      <c r="AJ6" s="30"/>
      <c r="AK6" s="30"/>
      <c r="AL6" s="30"/>
      <c r="AM6" s="16"/>
      <c r="AN6" s="16"/>
      <c r="AO6" s="30"/>
      <c r="AP6" s="16"/>
      <c r="AQ6" s="16"/>
      <c r="AR6" s="16"/>
      <c r="AS6" s="30"/>
      <c r="AT6" s="16"/>
      <c r="AU6" s="16"/>
      <c r="AV6" s="16"/>
      <c r="AW6" s="16"/>
      <c r="AX6" s="30"/>
      <c r="AY6" s="30"/>
      <c r="AZ6" s="30"/>
      <c r="BA6" s="30"/>
      <c r="BB6" s="30"/>
      <c r="BC6" s="30"/>
      <c r="BD6" s="30"/>
      <c r="BE6" s="30"/>
      <c r="BF6" s="16"/>
      <c r="BG6" s="16"/>
      <c r="BH6" s="30"/>
      <c r="BI6" s="30"/>
      <c r="BJ6" s="16" t="s">
        <v>140</v>
      </c>
    </row>
    <row r="7" spans="1:62" x14ac:dyDescent="0.25">
      <c r="A7" s="30" t="s">
        <v>126</v>
      </c>
      <c r="B7" s="30" t="s">
        <v>127</v>
      </c>
      <c r="C7" s="30">
        <v>50058347</v>
      </c>
      <c r="D7" s="30" t="s">
        <v>281</v>
      </c>
      <c r="E7" s="30" t="s">
        <v>282</v>
      </c>
      <c r="F7" s="30" t="s">
        <v>287</v>
      </c>
      <c r="G7" s="30">
        <v>50028953</v>
      </c>
      <c r="H7" s="30" t="s">
        <v>288</v>
      </c>
      <c r="I7" s="30"/>
      <c r="J7" s="30">
        <v>0</v>
      </c>
      <c r="K7" s="16">
        <v>45290</v>
      </c>
      <c r="L7" s="16"/>
      <c r="M7" s="16"/>
      <c r="N7" s="30" t="s">
        <v>129</v>
      </c>
      <c r="O7" s="30">
        <v>50052055</v>
      </c>
      <c r="P7" s="30" t="s">
        <v>289</v>
      </c>
      <c r="Q7" s="30" t="s">
        <v>148</v>
      </c>
      <c r="R7" s="30" t="s">
        <v>279</v>
      </c>
      <c r="S7" s="30">
        <v>50012356</v>
      </c>
      <c r="T7" s="30" t="s">
        <v>285</v>
      </c>
      <c r="U7" s="30">
        <v>0</v>
      </c>
      <c r="V7" s="30"/>
      <c r="W7" s="30"/>
      <c r="X7" s="16">
        <v>45931</v>
      </c>
      <c r="Y7" s="16"/>
      <c r="Z7" s="30"/>
      <c r="AA7" s="30">
        <v>50003976</v>
      </c>
      <c r="AB7" s="30" t="s">
        <v>283</v>
      </c>
      <c r="AC7" s="30"/>
      <c r="AD7" s="16"/>
      <c r="AE7" s="30">
        <v>0</v>
      </c>
      <c r="AF7" s="30"/>
      <c r="AG7" s="30"/>
      <c r="AH7" s="30"/>
      <c r="AI7" s="30"/>
      <c r="AJ7" s="30"/>
      <c r="AK7" s="30"/>
      <c r="AL7" s="30"/>
      <c r="AM7" s="16"/>
      <c r="AN7" s="16"/>
      <c r="AO7" s="30"/>
      <c r="AP7" s="16"/>
      <c r="AQ7" s="16"/>
      <c r="AR7" s="16"/>
      <c r="AS7" s="30"/>
      <c r="AT7" s="16"/>
      <c r="AU7" s="16"/>
      <c r="AV7" s="16"/>
      <c r="AW7" s="16"/>
      <c r="AX7" s="30"/>
      <c r="AY7" s="30"/>
      <c r="AZ7" s="30"/>
      <c r="BA7" s="30"/>
      <c r="BB7" s="30"/>
      <c r="BC7" s="30"/>
      <c r="BD7" s="30"/>
      <c r="BE7" s="30"/>
      <c r="BF7" s="16"/>
      <c r="BG7" s="16"/>
      <c r="BH7" s="30"/>
      <c r="BI7" s="30"/>
      <c r="BJ7" s="16" t="s">
        <v>174</v>
      </c>
    </row>
    <row r="8" spans="1:62" x14ac:dyDescent="0.25">
      <c r="A8" s="30" t="s">
        <v>126</v>
      </c>
      <c r="B8" s="30" t="s">
        <v>127</v>
      </c>
      <c r="C8" s="30">
        <v>50058349</v>
      </c>
      <c r="D8" s="30" t="s">
        <v>290</v>
      </c>
      <c r="E8" s="30" t="s">
        <v>291</v>
      </c>
      <c r="F8" s="30" t="s">
        <v>292</v>
      </c>
      <c r="G8" s="30">
        <v>50003933</v>
      </c>
      <c r="H8" s="30" t="s">
        <v>293</v>
      </c>
      <c r="I8" s="30"/>
      <c r="J8" s="30">
        <v>0</v>
      </c>
      <c r="K8" s="16">
        <v>45341</v>
      </c>
      <c r="L8" s="16"/>
      <c r="M8" s="16"/>
      <c r="N8" s="30" t="s">
        <v>129</v>
      </c>
      <c r="O8" s="30">
        <v>50051804</v>
      </c>
      <c r="P8" s="30" t="s">
        <v>294</v>
      </c>
      <c r="Q8" s="30" t="s">
        <v>148</v>
      </c>
      <c r="R8" s="30" t="s">
        <v>279</v>
      </c>
      <c r="S8" s="30">
        <v>50012324</v>
      </c>
      <c r="T8" s="30" t="s">
        <v>295</v>
      </c>
      <c r="U8" s="30">
        <v>0</v>
      </c>
      <c r="V8" s="30"/>
      <c r="W8" s="30"/>
      <c r="X8" s="16">
        <v>45839</v>
      </c>
      <c r="Y8" s="16"/>
      <c r="Z8" s="30"/>
      <c r="AA8" s="30">
        <v>50004071</v>
      </c>
      <c r="AB8" s="30" t="s">
        <v>296</v>
      </c>
      <c r="AC8" s="30" t="s">
        <v>297</v>
      </c>
      <c r="AD8" s="16"/>
      <c r="AE8" s="30">
        <v>0</v>
      </c>
      <c r="AF8" s="30"/>
      <c r="AG8" s="30"/>
      <c r="AH8" s="30"/>
      <c r="AI8" s="30"/>
      <c r="AJ8" s="30"/>
      <c r="AK8" s="30"/>
      <c r="AL8" s="30"/>
      <c r="AM8" s="16"/>
      <c r="AN8" s="16"/>
      <c r="AO8" s="30"/>
      <c r="AP8" s="16"/>
      <c r="AQ8" s="16"/>
      <c r="AR8" s="16"/>
      <c r="AS8" s="30"/>
      <c r="AT8" s="16"/>
      <c r="AU8" s="16"/>
      <c r="AV8" s="16"/>
      <c r="AW8" s="16"/>
      <c r="AX8" s="30"/>
      <c r="AY8" s="30"/>
      <c r="AZ8" s="30"/>
      <c r="BA8" s="30"/>
      <c r="BB8" s="30"/>
      <c r="BC8" s="30"/>
      <c r="BD8" s="30"/>
      <c r="BE8" s="30"/>
      <c r="BF8" s="16"/>
      <c r="BG8" s="16"/>
      <c r="BH8" s="30"/>
      <c r="BI8" s="30"/>
    </row>
    <row r="9" spans="1:62" x14ac:dyDescent="0.25">
      <c r="A9" s="30" t="s">
        <v>126</v>
      </c>
      <c r="B9" s="30" t="s">
        <v>127</v>
      </c>
      <c r="C9" s="30">
        <v>50058373</v>
      </c>
      <c r="D9" s="30" t="s">
        <v>298</v>
      </c>
      <c r="E9" s="30" t="s">
        <v>282</v>
      </c>
      <c r="F9" s="30" t="s">
        <v>299</v>
      </c>
      <c r="G9" s="30">
        <v>50024140</v>
      </c>
      <c r="H9" s="30" t="s">
        <v>300</v>
      </c>
      <c r="I9" s="30" t="s">
        <v>301</v>
      </c>
      <c r="J9" s="30">
        <v>1002540</v>
      </c>
      <c r="K9" s="16">
        <v>45290</v>
      </c>
      <c r="L9" s="16"/>
      <c r="M9" s="16"/>
      <c r="N9" s="30" t="s">
        <v>129</v>
      </c>
      <c r="O9" s="30">
        <v>50028313</v>
      </c>
      <c r="P9" s="30" t="s">
        <v>302</v>
      </c>
      <c r="Q9" s="30" t="s">
        <v>278</v>
      </c>
      <c r="R9" s="30" t="s">
        <v>131</v>
      </c>
      <c r="S9" s="30">
        <v>50012356</v>
      </c>
      <c r="T9" s="30" t="s">
        <v>285</v>
      </c>
      <c r="U9" s="30">
        <v>50012356</v>
      </c>
      <c r="V9" s="30" t="s">
        <v>285</v>
      </c>
      <c r="W9" s="30" t="s">
        <v>241</v>
      </c>
      <c r="X9" s="16"/>
      <c r="Y9" s="16"/>
      <c r="Z9" s="30"/>
      <c r="AA9" s="30">
        <v>50004378</v>
      </c>
      <c r="AB9" s="30" t="s">
        <v>303</v>
      </c>
      <c r="AC9" s="30" t="s">
        <v>403</v>
      </c>
      <c r="AD9" s="16">
        <v>34617</v>
      </c>
      <c r="AE9" s="30">
        <v>31</v>
      </c>
      <c r="AF9" s="30" t="s">
        <v>243</v>
      </c>
      <c r="AG9" s="30" t="s">
        <v>134</v>
      </c>
      <c r="AH9" s="30" t="s">
        <v>142</v>
      </c>
      <c r="AI9" s="30" t="s">
        <v>143</v>
      </c>
      <c r="AJ9" s="30" t="s">
        <v>259</v>
      </c>
      <c r="AK9" s="30" t="s">
        <v>260</v>
      </c>
      <c r="AL9" s="30" t="s">
        <v>138</v>
      </c>
      <c r="AM9" s="16"/>
      <c r="AN9" s="16">
        <v>45931</v>
      </c>
      <c r="AO9" s="30" t="s">
        <v>278</v>
      </c>
      <c r="AP9" s="16">
        <v>45931</v>
      </c>
      <c r="AQ9" s="16">
        <v>43346</v>
      </c>
      <c r="AR9" s="16">
        <v>45931</v>
      </c>
      <c r="AS9" s="30"/>
      <c r="AT9" s="16">
        <v>56532</v>
      </c>
      <c r="AU9" s="16">
        <v>43346</v>
      </c>
      <c r="AV9" s="16"/>
      <c r="AW9" s="16"/>
      <c r="AX9" s="30" t="s">
        <v>395</v>
      </c>
      <c r="AY9" s="30" t="s">
        <v>145</v>
      </c>
      <c r="AZ9" s="30" t="s">
        <v>154</v>
      </c>
      <c r="BA9" s="30" t="s">
        <v>390</v>
      </c>
      <c r="BB9" s="32" t="s">
        <v>397</v>
      </c>
      <c r="BC9" s="30" t="s">
        <v>304</v>
      </c>
      <c r="BD9" s="30"/>
      <c r="BE9" s="30"/>
      <c r="BF9" s="16"/>
      <c r="BG9" s="16"/>
      <c r="BH9" s="30" t="s">
        <v>139</v>
      </c>
      <c r="BI9" s="30" t="s">
        <v>398</v>
      </c>
    </row>
    <row r="10" spans="1:62" x14ac:dyDescent="0.25">
      <c r="A10" s="30" t="s">
        <v>126</v>
      </c>
      <c r="B10" s="30" t="s">
        <v>127</v>
      </c>
      <c r="C10" s="30">
        <v>50058373</v>
      </c>
      <c r="D10" s="30" t="s">
        <v>298</v>
      </c>
      <c r="E10" s="30" t="s">
        <v>282</v>
      </c>
      <c r="F10" s="30" t="s">
        <v>305</v>
      </c>
      <c r="G10" s="30">
        <v>50003944</v>
      </c>
      <c r="H10" s="30" t="s">
        <v>288</v>
      </c>
      <c r="I10" s="30" t="s">
        <v>306</v>
      </c>
      <c r="J10" s="30">
        <v>1003002</v>
      </c>
      <c r="K10" s="16">
        <v>45290</v>
      </c>
      <c r="L10" s="16"/>
      <c r="M10" s="16"/>
      <c r="N10" s="30" t="s">
        <v>129</v>
      </c>
      <c r="O10" s="30">
        <v>50052055</v>
      </c>
      <c r="P10" s="30" t="s">
        <v>289</v>
      </c>
      <c r="Q10" s="30" t="s">
        <v>148</v>
      </c>
      <c r="R10" s="30" t="s">
        <v>131</v>
      </c>
      <c r="S10" s="30">
        <v>50012356</v>
      </c>
      <c r="T10" s="30" t="s">
        <v>285</v>
      </c>
      <c r="U10" s="30">
        <v>50012356</v>
      </c>
      <c r="V10" s="30" t="s">
        <v>285</v>
      </c>
      <c r="W10" s="30" t="s">
        <v>241</v>
      </c>
      <c r="X10" s="16"/>
      <c r="Y10" s="16"/>
      <c r="Z10" s="30"/>
      <c r="AA10" s="30">
        <v>50004378</v>
      </c>
      <c r="AB10" s="30" t="s">
        <v>303</v>
      </c>
      <c r="AC10" s="30" t="s">
        <v>403</v>
      </c>
      <c r="AD10" s="16">
        <v>35396</v>
      </c>
      <c r="AE10" s="30">
        <v>29</v>
      </c>
      <c r="AF10" s="30" t="s">
        <v>243</v>
      </c>
      <c r="AG10" s="30" t="s">
        <v>307</v>
      </c>
      <c r="AH10" s="30" t="s">
        <v>142</v>
      </c>
      <c r="AI10" s="30" t="s">
        <v>143</v>
      </c>
      <c r="AJ10" s="30" t="s">
        <v>259</v>
      </c>
      <c r="AK10" s="30" t="s">
        <v>260</v>
      </c>
      <c r="AL10" s="30" t="s">
        <v>138</v>
      </c>
      <c r="AM10" s="16"/>
      <c r="AN10" s="16">
        <v>43711</v>
      </c>
      <c r="AO10" s="30" t="s">
        <v>148</v>
      </c>
      <c r="AP10" s="16">
        <v>44776</v>
      </c>
      <c r="AQ10" s="16">
        <v>43711</v>
      </c>
      <c r="AR10" s="16">
        <v>45931</v>
      </c>
      <c r="AS10" s="30"/>
      <c r="AT10" s="16">
        <v>57311</v>
      </c>
      <c r="AU10" s="16">
        <v>43711</v>
      </c>
      <c r="AV10" s="16"/>
      <c r="AW10" s="16"/>
      <c r="AX10" s="30" t="s">
        <v>395</v>
      </c>
      <c r="AY10" s="30" t="s">
        <v>145</v>
      </c>
      <c r="AZ10" s="30" t="s">
        <v>154</v>
      </c>
      <c r="BA10" s="30" t="s">
        <v>390</v>
      </c>
      <c r="BB10" s="32" t="s">
        <v>397</v>
      </c>
      <c r="BC10" s="30" t="s">
        <v>308</v>
      </c>
      <c r="BD10" s="30"/>
      <c r="BE10" s="30"/>
      <c r="BF10" s="16"/>
      <c r="BG10" s="16" t="s">
        <v>309</v>
      </c>
      <c r="BH10" s="30" t="s">
        <v>139</v>
      </c>
      <c r="BI10" s="30" t="s">
        <v>398</v>
      </c>
    </row>
    <row r="11" spans="1:62" x14ac:dyDescent="0.25">
      <c r="A11" s="30" t="s">
        <v>126</v>
      </c>
      <c r="B11" s="30" t="s">
        <v>127</v>
      </c>
      <c r="C11" s="30">
        <v>50058373</v>
      </c>
      <c r="D11" s="30" t="s">
        <v>298</v>
      </c>
      <c r="E11" s="30" t="s">
        <v>282</v>
      </c>
      <c r="F11" s="30" t="s">
        <v>310</v>
      </c>
      <c r="G11" s="30">
        <v>50022998</v>
      </c>
      <c r="H11" s="30" t="s">
        <v>288</v>
      </c>
      <c r="I11" s="30" t="s">
        <v>411</v>
      </c>
      <c r="J11" s="30">
        <v>1004516</v>
      </c>
      <c r="K11" s="16">
        <v>45290</v>
      </c>
      <c r="L11" s="16"/>
      <c r="M11" s="16"/>
      <c r="N11" s="30" t="s">
        <v>129</v>
      </c>
      <c r="O11" s="30">
        <v>50052055</v>
      </c>
      <c r="P11" s="30" t="s">
        <v>289</v>
      </c>
      <c r="Q11" s="30" t="s">
        <v>148</v>
      </c>
      <c r="R11" s="30" t="s">
        <v>131</v>
      </c>
      <c r="S11" s="30">
        <v>50012356</v>
      </c>
      <c r="T11" s="30" t="s">
        <v>285</v>
      </c>
      <c r="U11" s="30">
        <v>50012356</v>
      </c>
      <c r="V11" s="30" t="s">
        <v>285</v>
      </c>
      <c r="W11" s="30" t="s">
        <v>241</v>
      </c>
      <c r="X11" s="16"/>
      <c r="Y11" s="16"/>
      <c r="Z11" s="30"/>
      <c r="AA11" s="30">
        <v>50004378</v>
      </c>
      <c r="AB11" s="30" t="s">
        <v>303</v>
      </c>
      <c r="AC11" s="30" t="s">
        <v>403</v>
      </c>
      <c r="AD11" s="16">
        <v>35419</v>
      </c>
      <c r="AE11" s="30">
        <v>29</v>
      </c>
      <c r="AF11" s="30" t="s">
        <v>133</v>
      </c>
      <c r="AG11" s="30" t="s">
        <v>134</v>
      </c>
      <c r="AH11" s="30" t="s">
        <v>257</v>
      </c>
      <c r="AI11" s="30" t="s">
        <v>143</v>
      </c>
      <c r="AJ11" s="30" t="s">
        <v>259</v>
      </c>
      <c r="AK11" s="30" t="s">
        <v>260</v>
      </c>
      <c r="AL11" s="30" t="s">
        <v>138</v>
      </c>
      <c r="AM11" s="16"/>
      <c r="AN11" s="16">
        <v>45931</v>
      </c>
      <c r="AO11" s="30" t="s">
        <v>148</v>
      </c>
      <c r="AP11" s="16">
        <v>45582</v>
      </c>
      <c r="AQ11" s="16">
        <v>44552</v>
      </c>
      <c r="AR11" s="16">
        <v>45931</v>
      </c>
      <c r="AS11" s="30"/>
      <c r="AT11" s="16">
        <v>57334</v>
      </c>
      <c r="AU11" s="16">
        <v>44552</v>
      </c>
      <c r="AV11" s="16"/>
      <c r="AW11" s="16"/>
      <c r="AX11" s="30" t="s">
        <v>262</v>
      </c>
      <c r="AY11" s="30" t="s">
        <v>145</v>
      </c>
      <c r="AZ11" s="30" t="s">
        <v>154</v>
      </c>
      <c r="BA11" s="30" t="s">
        <v>390</v>
      </c>
      <c r="BB11" s="32" t="s">
        <v>397</v>
      </c>
      <c r="BC11" s="30" t="s">
        <v>311</v>
      </c>
      <c r="BD11" s="30"/>
      <c r="BE11" s="30"/>
      <c r="BF11" s="16"/>
      <c r="BG11" s="16" t="s">
        <v>312</v>
      </c>
      <c r="BH11" s="30" t="s">
        <v>139</v>
      </c>
      <c r="BI11" s="30" t="s">
        <v>398</v>
      </c>
    </row>
    <row r="12" spans="1:62" x14ac:dyDescent="0.25">
      <c r="A12" s="30" t="s">
        <v>126</v>
      </c>
      <c r="B12" s="30" t="s">
        <v>127</v>
      </c>
      <c r="C12" s="30">
        <v>50058374</v>
      </c>
      <c r="D12" s="30" t="s">
        <v>313</v>
      </c>
      <c r="E12" s="30" t="s">
        <v>282</v>
      </c>
      <c r="F12" s="30" t="s">
        <v>313</v>
      </c>
      <c r="G12" s="30">
        <v>50021976</v>
      </c>
      <c r="H12" s="30" t="s">
        <v>314</v>
      </c>
      <c r="I12" s="30" t="s">
        <v>315</v>
      </c>
      <c r="J12" s="30">
        <v>1003698</v>
      </c>
      <c r="K12" s="16">
        <v>45290</v>
      </c>
      <c r="L12" s="16"/>
      <c r="M12" s="16"/>
      <c r="N12" s="30" t="s">
        <v>129</v>
      </c>
      <c r="O12" s="30">
        <v>50028314</v>
      </c>
      <c r="P12" s="30" t="s">
        <v>284</v>
      </c>
      <c r="Q12" s="30" t="s">
        <v>130</v>
      </c>
      <c r="R12" s="30" t="s">
        <v>131</v>
      </c>
      <c r="S12" s="30">
        <v>50012356</v>
      </c>
      <c r="T12" s="30" t="s">
        <v>285</v>
      </c>
      <c r="U12" s="30">
        <v>50012356</v>
      </c>
      <c r="V12" s="30" t="s">
        <v>285</v>
      </c>
      <c r="W12" s="30" t="s">
        <v>150</v>
      </c>
      <c r="X12" s="16"/>
      <c r="Y12" s="16"/>
      <c r="Z12" s="30"/>
      <c r="AA12" s="30">
        <v>50021085</v>
      </c>
      <c r="AB12" s="30" t="s">
        <v>286</v>
      </c>
      <c r="AC12" s="30" t="s">
        <v>404</v>
      </c>
      <c r="AD12" s="16">
        <v>30576</v>
      </c>
      <c r="AE12" s="30">
        <v>42</v>
      </c>
      <c r="AF12" s="30" t="s">
        <v>243</v>
      </c>
      <c r="AG12" s="30" t="s">
        <v>134</v>
      </c>
      <c r="AH12" s="30" t="s">
        <v>142</v>
      </c>
      <c r="AI12" s="30" t="s">
        <v>143</v>
      </c>
      <c r="AJ12" s="30" t="s">
        <v>316</v>
      </c>
      <c r="AK12" s="30" t="s">
        <v>260</v>
      </c>
      <c r="AL12" s="30" t="s">
        <v>317</v>
      </c>
      <c r="AM12" s="16">
        <v>46477</v>
      </c>
      <c r="AN12" s="16">
        <v>43556</v>
      </c>
      <c r="AO12" s="30" t="s">
        <v>130</v>
      </c>
      <c r="AP12" s="16">
        <v>43556</v>
      </c>
      <c r="AQ12" s="16">
        <v>43556</v>
      </c>
      <c r="AR12" s="16">
        <v>45748</v>
      </c>
      <c r="AS12" s="30"/>
      <c r="AT12" s="16">
        <v>52491</v>
      </c>
      <c r="AU12" s="16">
        <v>43556</v>
      </c>
      <c r="AV12" s="16"/>
      <c r="AW12" s="16"/>
      <c r="AX12" s="30" t="s">
        <v>396</v>
      </c>
      <c r="AY12" s="30" t="s">
        <v>145</v>
      </c>
      <c r="AZ12" s="30" t="s">
        <v>154</v>
      </c>
      <c r="BA12" s="30" t="s">
        <v>390</v>
      </c>
      <c r="BB12" s="32" t="s">
        <v>397</v>
      </c>
      <c r="BC12" s="30" t="s">
        <v>318</v>
      </c>
      <c r="BD12" s="30"/>
      <c r="BE12" s="30"/>
      <c r="BF12" s="16"/>
      <c r="BG12" s="16" t="s">
        <v>319</v>
      </c>
      <c r="BH12" s="30" t="s">
        <v>139</v>
      </c>
      <c r="BI12" s="30" t="s">
        <v>398</v>
      </c>
    </row>
    <row r="13" spans="1:62" x14ac:dyDescent="0.25">
      <c r="A13" s="30" t="s">
        <v>126</v>
      </c>
      <c r="B13" s="30" t="s">
        <v>147</v>
      </c>
      <c r="C13" s="30">
        <v>50058318</v>
      </c>
      <c r="D13" s="30" t="s">
        <v>320</v>
      </c>
      <c r="E13" s="30" t="s">
        <v>321</v>
      </c>
      <c r="F13" s="30" t="s">
        <v>322</v>
      </c>
      <c r="G13" s="30">
        <v>50039488</v>
      </c>
      <c r="H13" s="30" t="s">
        <v>323</v>
      </c>
      <c r="I13" s="30" t="s">
        <v>418</v>
      </c>
      <c r="J13" s="30">
        <v>610648</v>
      </c>
      <c r="K13" s="16">
        <v>43709</v>
      </c>
      <c r="L13" s="16"/>
      <c r="M13" s="16"/>
      <c r="N13" s="30" t="s">
        <v>324</v>
      </c>
      <c r="O13" s="30">
        <v>50033720</v>
      </c>
      <c r="P13" s="30" t="s">
        <v>325</v>
      </c>
      <c r="Q13" s="30" t="s">
        <v>130</v>
      </c>
      <c r="R13" s="30" t="s">
        <v>131</v>
      </c>
      <c r="S13" s="30">
        <v>50012310</v>
      </c>
      <c r="T13" s="30" t="s">
        <v>149</v>
      </c>
      <c r="U13" s="30">
        <v>50012310</v>
      </c>
      <c r="V13" s="30" t="s">
        <v>149</v>
      </c>
      <c r="W13" s="30" t="s">
        <v>132</v>
      </c>
      <c r="X13" s="16"/>
      <c r="Y13" s="16"/>
      <c r="Z13" s="30"/>
      <c r="AA13" s="30">
        <v>50003611</v>
      </c>
      <c r="AB13" s="30" t="s">
        <v>326</v>
      </c>
      <c r="AC13" s="30" t="s">
        <v>327</v>
      </c>
      <c r="AD13" s="16">
        <v>26834</v>
      </c>
      <c r="AE13" s="30">
        <v>52</v>
      </c>
      <c r="AF13" s="30" t="s">
        <v>133</v>
      </c>
      <c r="AG13" s="30" t="s">
        <v>134</v>
      </c>
      <c r="AH13" s="30" t="s">
        <v>257</v>
      </c>
      <c r="AI13" s="30" t="s">
        <v>143</v>
      </c>
      <c r="AJ13" s="30" t="s">
        <v>259</v>
      </c>
      <c r="AK13" s="30" t="s">
        <v>328</v>
      </c>
      <c r="AL13" s="30" t="s">
        <v>138</v>
      </c>
      <c r="AM13" s="16"/>
      <c r="AN13" s="16">
        <v>39142</v>
      </c>
      <c r="AO13" s="30" t="s">
        <v>130</v>
      </c>
      <c r="AP13" s="16">
        <v>39142</v>
      </c>
      <c r="AQ13" s="16">
        <v>34765</v>
      </c>
      <c r="AR13" s="16">
        <v>43724</v>
      </c>
      <c r="AS13" s="30"/>
      <c r="AT13" s="16">
        <v>48749</v>
      </c>
      <c r="AU13" s="16">
        <v>34765</v>
      </c>
      <c r="AV13" s="16"/>
      <c r="AW13" s="16"/>
      <c r="AX13" s="30" t="s">
        <v>262</v>
      </c>
      <c r="AY13" s="30" t="s">
        <v>145</v>
      </c>
      <c r="AZ13" s="30" t="s">
        <v>154</v>
      </c>
      <c r="BA13" s="30" t="s">
        <v>390</v>
      </c>
      <c r="BB13" s="32" t="s">
        <v>397</v>
      </c>
      <c r="BC13" s="30" t="s">
        <v>329</v>
      </c>
      <c r="BD13" s="30"/>
      <c r="BE13" s="30"/>
      <c r="BF13" s="16"/>
      <c r="BG13" s="16"/>
      <c r="BH13" s="30"/>
      <c r="BI13" s="30"/>
      <c r="BJ13" s="16"/>
    </row>
    <row r="14" spans="1:62" x14ac:dyDescent="0.25">
      <c r="A14" s="30" t="s">
        <v>126</v>
      </c>
      <c r="B14" s="30" t="s">
        <v>147</v>
      </c>
      <c r="C14" s="30">
        <v>50058324</v>
      </c>
      <c r="D14" s="30" t="s">
        <v>330</v>
      </c>
      <c r="E14" s="30" t="s">
        <v>331</v>
      </c>
      <c r="F14" s="30" t="s">
        <v>332</v>
      </c>
      <c r="G14" s="30">
        <v>50003554</v>
      </c>
      <c r="H14" s="30" t="s">
        <v>333</v>
      </c>
      <c r="I14" s="30" t="s">
        <v>412</v>
      </c>
      <c r="J14" s="30">
        <v>1003167</v>
      </c>
      <c r="K14" s="16">
        <v>45290</v>
      </c>
      <c r="L14" s="16"/>
      <c r="M14" s="16"/>
      <c r="N14" s="30" t="s">
        <v>129</v>
      </c>
      <c r="O14" s="30">
        <v>50049737</v>
      </c>
      <c r="P14" s="30" t="s">
        <v>175</v>
      </c>
      <c r="Q14" s="30" t="s">
        <v>130</v>
      </c>
      <c r="R14" s="30" t="s">
        <v>131</v>
      </c>
      <c r="S14" s="30">
        <v>50012310</v>
      </c>
      <c r="T14" s="30" t="s">
        <v>149</v>
      </c>
      <c r="U14" s="30">
        <v>50012310</v>
      </c>
      <c r="V14" s="30" t="s">
        <v>149</v>
      </c>
      <c r="W14" s="30" t="s">
        <v>150</v>
      </c>
      <c r="X14" s="16"/>
      <c r="Y14" s="16"/>
      <c r="Z14" s="30"/>
      <c r="AA14" s="30">
        <v>50003549</v>
      </c>
      <c r="AB14" s="30" t="s">
        <v>331</v>
      </c>
      <c r="AC14" s="30" t="s">
        <v>334</v>
      </c>
      <c r="AD14" s="16">
        <v>27085</v>
      </c>
      <c r="AE14" s="30">
        <v>51</v>
      </c>
      <c r="AF14" s="30" t="s">
        <v>133</v>
      </c>
      <c r="AG14" s="30" t="s">
        <v>134</v>
      </c>
      <c r="AH14" s="30" t="s">
        <v>135</v>
      </c>
      <c r="AI14" s="30" t="s">
        <v>335</v>
      </c>
      <c r="AJ14" s="30" t="s">
        <v>136</v>
      </c>
      <c r="AK14" s="30" t="s">
        <v>151</v>
      </c>
      <c r="AL14" s="30" t="s">
        <v>152</v>
      </c>
      <c r="AM14" s="16">
        <v>46140</v>
      </c>
      <c r="AN14" s="16">
        <v>42340</v>
      </c>
      <c r="AO14" s="30" t="s">
        <v>130</v>
      </c>
      <c r="AP14" s="16">
        <v>42340</v>
      </c>
      <c r="AQ14" s="16">
        <v>42340</v>
      </c>
      <c r="AR14" s="16">
        <v>45290</v>
      </c>
      <c r="AS14" s="30" t="s">
        <v>336</v>
      </c>
      <c r="AT14" s="16">
        <v>49000</v>
      </c>
      <c r="AU14" s="16">
        <v>42340</v>
      </c>
      <c r="AV14" s="16">
        <v>46140</v>
      </c>
      <c r="AW14" s="16">
        <v>46140</v>
      </c>
      <c r="AX14" s="30" t="s">
        <v>157</v>
      </c>
      <c r="AY14" s="30" t="s">
        <v>145</v>
      </c>
      <c r="AZ14" s="30" t="s">
        <v>154</v>
      </c>
      <c r="BA14" s="30" t="s">
        <v>390</v>
      </c>
      <c r="BB14" s="32" t="s">
        <v>397</v>
      </c>
      <c r="BC14" s="30" t="s">
        <v>337</v>
      </c>
      <c r="BD14" s="30"/>
      <c r="BE14" s="30" t="s">
        <v>182</v>
      </c>
      <c r="BF14" s="16">
        <v>46140</v>
      </c>
      <c r="BG14" s="16"/>
      <c r="BH14" s="30" t="s">
        <v>139</v>
      </c>
      <c r="BI14" s="30" t="s">
        <v>398</v>
      </c>
      <c r="BJ14" s="16" t="s">
        <v>140</v>
      </c>
    </row>
    <row r="15" spans="1:62" x14ac:dyDescent="0.25">
      <c r="A15" s="30" t="s">
        <v>126</v>
      </c>
      <c r="B15" s="30" t="s">
        <v>147</v>
      </c>
      <c r="C15" s="30">
        <v>50058324</v>
      </c>
      <c r="D15" s="30" t="s">
        <v>330</v>
      </c>
      <c r="E15" s="30" t="s">
        <v>331</v>
      </c>
      <c r="F15" s="30" t="s">
        <v>332</v>
      </c>
      <c r="G15" s="30">
        <v>50003558</v>
      </c>
      <c r="H15" s="30" t="s">
        <v>333</v>
      </c>
      <c r="I15" s="30" t="s">
        <v>413</v>
      </c>
      <c r="J15" s="30">
        <v>1004792</v>
      </c>
      <c r="K15" s="16">
        <v>45290</v>
      </c>
      <c r="L15" s="16"/>
      <c r="M15" s="16"/>
      <c r="N15" s="30" t="s">
        <v>129</v>
      </c>
      <c r="O15" s="30">
        <v>50049737</v>
      </c>
      <c r="P15" s="30" t="s">
        <v>175</v>
      </c>
      <c r="Q15" s="30" t="s">
        <v>130</v>
      </c>
      <c r="R15" s="30" t="s">
        <v>131</v>
      </c>
      <c r="S15" s="30">
        <v>50012310</v>
      </c>
      <c r="T15" s="30" t="s">
        <v>149</v>
      </c>
      <c r="U15" s="30">
        <v>50012310</v>
      </c>
      <c r="V15" s="30" t="s">
        <v>149</v>
      </c>
      <c r="W15" s="30" t="s">
        <v>150</v>
      </c>
      <c r="X15" s="16"/>
      <c r="Y15" s="16"/>
      <c r="Z15" s="30"/>
      <c r="AA15" s="30">
        <v>50003549</v>
      </c>
      <c r="AB15" s="30" t="s">
        <v>331</v>
      </c>
      <c r="AC15" s="30" t="s">
        <v>407</v>
      </c>
      <c r="AD15" s="16">
        <v>25602</v>
      </c>
      <c r="AE15" s="30">
        <v>56</v>
      </c>
      <c r="AF15" s="30" t="s">
        <v>133</v>
      </c>
      <c r="AG15" s="30" t="s">
        <v>134</v>
      </c>
      <c r="AH15" s="30" t="s">
        <v>338</v>
      </c>
      <c r="AI15" s="30" t="s">
        <v>178</v>
      </c>
      <c r="AJ15" s="30" t="s">
        <v>136</v>
      </c>
      <c r="AK15" s="30" t="s">
        <v>151</v>
      </c>
      <c r="AL15" s="30" t="s">
        <v>152</v>
      </c>
      <c r="AM15" s="16">
        <v>46537</v>
      </c>
      <c r="AN15" s="16">
        <v>45077</v>
      </c>
      <c r="AO15" s="30" t="s">
        <v>130</v>
      </c>
      <c r="AP15" s="16">
        <v>45077</v>
      </c>
      <c r="AQ15" s="16">
        <v>45077</v>
      </c>
      <c r="AR15" s="16">
        <v>45077</v>
      </c>
      <c r="AS15" s="30" t="s">
        <v>336</v>
      </c>
      <c r="AT15" s="16">
        <v>47517</v>
      </c>
      <c r="AU15" s="16">
        <v>45077</v>
      </c>
      <c r="AV15" s="16">
        <v>46537</v>
      </c>
      <c r="AW15" s="16">
        <v>46464</v>
      </c>
      <c r="AX15" s="30" t="s">
        <v>179</v>
      </c>
      <c r="AY15" s="30" t="s">
        <v>145</v>
      </c>
      <c r="AZ15" s="30" t="s">
        <v>154</v>
      </c>
      <c r="BA15" s="30" t="s">
        <v>390</v>
      </c>
      <c r="BB15" s="32" t="s">
        <v>397</v>
      </c>
      <c r="BC15" s="30" t="s">
        <v>339</v>
      </c>
      <c r="BD15" s="30"/>
      <c r="BE15" s="30" t="s">
        <v>182</v>
      </c>
      <c r="BF15" s="16">
        <v>46537</v>
      </c>
      <c r="BG15" s="16"/>
      <c r="BH15" s="30" t="s">
        <v>139</v>
      </c>
      <c r="BI15" s="30" t="s">
        <v>398</v>
      </c>
      <c r="BJ15" s="16" t="s">
        <v>140</v>
      </c>
    </row>
    <row r="16" spans="1:62" x14ac:dyDescent="0.25">
      <c r="A16" s="30" t="s">
        <v>126</v>
      </c>
      <c r="B16" s="30" t="s">
        <v>147</v>
      </c>
      <c r="C16" s="30">
        <v>50058400</v>
      </c>
      <c r="D16" s="30" t="s">
        <v>340</v>
      </c>
      <c r="E16" s="30" t="s">
        <v>341</v>
      </c>
      <c r="F16" s="30" t="s">
        <v>340</v>
      </c>
      <c r="G16" s="30">
        <v>50024094</v>
      </c>
      <c r="H16" s="30" t="s">
        <v>342</v>
      </c>
      <c r="I16" s="30" t="s">
        <v>414</v>
      </c>
      <c r="J16" s="30">
        <v>1004304</v>
      </c>
      <c r="K16" s="16">
        <v>45290</v>
      </c>
      <c r="L16" s="16"/>
      <c r="M16" s="16"/>
      <c r="N16" s="30" t="s">
        <v>129</v>
      </c>
      <c r="O16" s="30">
        <v>50049911</v>
      </c>
      <c r="P16" s="30" t="s">
        <v>343</v>
      </c>
      <c r="Q16" s="30" t="s">
        <v>278</v>
      </c>
      <c r="R16" s="30" t="s">
        <v>131</v>
      </c>
      <c r="S16" s="30">
        <v>50012310</v>
      </c>
      <c r="T16" s="30" t="s">
        <v>149</v>
      </c>
      <c r="U16" s="30">
        <v>50012310</v>
      </c>
      <c r="V16" s="30" t="s">
        <v>149</v>
      </c>
      <c r="W16" s="30" t="s">
        <v>150</v>
      </c>
      <c r="X16" s="16"/>
      <c r="Y16" s="16"/>
      <c r="Z16" s="30"/>
      <c r="AA16" s="30">
        <v>50003478</v>
      </c>
      <c r="AB16" s="30" t="s">
        <v>344</v>
      </c>
      <c r="AC16" s="30" t="s">
        <v>345</v>
      </c>
      <c r="AD16" s="16">
        <v>27674</v>
      </c>
      <c r="AE16" s="30">
        <v>50</v>
      </c>
      <c r="AF16" s="30" t="s">
        <v>133</v>
      </c>
      <c r="AG16" s="30" t="s">
        <v>134</v>
      </c>
      <c r="AH16" s="30" t="s">
        <v>346</v>
      </c>
      <c r="AI16" s="30" t="s">
        <v>346</v>
      </c>
      <c r="AJ16" s="30" t="s">
        <v>136</v>
      </c>
      <c r="AK16" s="30" t="s">
        <v>151</v>
      </c>
      <c r="AL16" s="30" t="s">
        <v>152</v>
      </c>
      <c r="AM16" s="16">
        <v>46659</v>
      </c>
      <c r="AN16" s="16">
        <v>44172</v>
      </c>
      <c r="AO16" s="30" t="s">
        <v>278</v>
      </c>
      <c r="AP16" s="16">
        <v>44172</v>
      </c>
      <c r="AQ16" s="16">
        <v>44172</v>
      </c>
      <c r="AR16" s="16">
        <v>44172</v>
      </c>
      <c r="AS16" s="30" t="s">
        <v>347</v>
      </c>
      <c r="AT16" s="16">
        <v>49589</v>
      </c>
      <c r="AU16" s="16">
        <v>44172</v>
      </c>
      <c r="AV16" s="16">
        <v>46659</v>
      </c>
      <c r="AW16" s="16">
        <v>46572</v>
      </c>
      <c r="AX16" s="30" t="s">
        <v>348</v>
      </c>
      <c r="AY16" s="30" t="s">
        <v>145</v>
      </c>
      <c r="AZ16" s="30" t="s">
        <v>154</v>
      </c>
      <c r="BA16" s="30" t="s">
        <v>390</v>
      </c>
      <c r="BB16" s="32" t="s">
        <v>397</v>
      </c>
      <c r="BC16" s="30" t="s">
        <v>349</v>
      </c>
      <c r="BD16" s="30"/>
      <c r="BE16" s="30" t="s">
        <v>182</v>
      </c>
      <c r="BF16" s="16">
        <v>46659</v>
      </c>
      <c r="BG16" s="16"/>
      <c r="BH16" s="30" t="s">
        <v>350</v>
      </c>
      <c r="BI16" s="30" t="s">
        <v>351</v>
      </c>
      <c r="BJ16" s="16" t="s">
        <v>128</v>
      </c>
    </row>
    <row r="17" spans="1:62" x14ac:dyDescent="0.25">
      <c r="A17" s="30" t="s">
        <v>126</v>
      </c>
      <c r="B17" s="30" t="s">
        <v>147</v>
      </c>
      <c r="C17" s="30">
        <v>50058427</v>
      </c>
      <c r="D17" s="30" t="s">
        <v>169</v>
      </c>
      <c r="E17" s="30" t="s">
        <v>170</v>
      </c>
      <c r="F17" s="30" t="s">
        <v>171</v>
      </c>
      <c r="G17" s="30">
        <v>50024424</v>
      </c>
      <c r="H17" s="30" t="s">
        <v>172</v>
      </c>
      <c r="I17" s="30" t="s">
        <v>173</v>
      </c>
      <c r="J17" s="30">
        <v>1001827</v>
      </c>
      <c r="K17" s="16">
        <v>45290</v>
      </c>
      <c r="L17" s="16"/>
      <c r="M17" s="16"/>
      <c r="N17" s="30" t="s">
        <v>129</v>
      </c>
      <c r="O17" s="30">
        <v>50049737</v>
      </c>
      <c r="P17" s="30" t="s">
        <v>175</v>
      </c>
      <c r="Q17" s="30" t="s">
        <v>130</v>
      </c>
      <c r="R17" s="30" t="s">
        <v>131</v>
      </c>
      <c r="S17" s="30">
        <v>50012310</v>
      </c>
      <c r="T17" s="30" t="s">
        <v>149</v>
      </c>
      <c r="U17" s="30">
        <v>50012310</v>
      </c>
      <c r="V17" s="30" t="s">
        <v>149</v>
      </c>
      <c r="W17" s="30" t="s">
        <v>150</v>
      </c>
      <c r="X17" s="16"/>
      <c r="Y17" s="16"/>
      <c r="Z17" s="30"/>
      <c r="AA17" s="30">
        <v>50003551</v>
      </c>
      <c r="AB17" s="30" t="s">
        <v>176</v>
      </c>
      <c r="AC17" s="30" t="s">
        <v>177</v>
      </c>
      <c r="AD17" s="16">
        <v>28636</v>
      </c>
      <c r="AE17" s="30">
        <v>47</v>
      </c>
      <c r="AF17" s="30" t="s">
        <v>133</v>
      </c>
      <c r="AG17" s="30" t="s">
        <v>134</v>
      </c>
      <c r="AH17" s="30" t="s">
        <v>135</v>
      </c>
      <c r="AI17" s="30" t="s">
        <v>178</v>
      </c>
      <c r="AJ17" s="30" t="s">
        <v>136</v>
      </c>
      <c r="AK17" s="30" t="s">
        <v>151</v>
      </c>
      <c r="AL17" s="30" t="s">
        <v>152</v>
      </c>
      <c r="AM17" s="16">
        <v>46171</v>
      </c>
      <c r="AN17" s="16">
        <v>41412</v>
      </c>
      <c r="AO17" s="30" t="s">
        <v>130</v>
      </c>
      <c r="AP17" s="16">
        <v>41412</v>
      </c>
      <c r="AQ17" s="16">
        <v>41412</v>
      </c>
      <c r="AR17" s="16">
        <v>41974</v>
      </c>
      <c r="AS17" s="30"/>
      <c r="AT17" s="16">
        <v>50551</v>
      </c>
      <c r="AU17" s="16">
        <v>41412</v>
      </c>
      <c r="AV17" s="16">
        <v>46171</v>
      </c>
      <c r="AW17" s="16">
        <v>46171</v>
      </c>
      <c r="AX17" s="30" t="s">
        <v>179</v>
      </c>
      <c r="AY17" s="30" t="s">
        <v>145</v>
      </c>
      <c r="AZ17" s="30" t="s">
        <v>154</v>
      </c>
      <c r="BA17" s="30" t="s">
        <v>390</v>
      </c>
      <c r="BB17" s="32" t="s">
        <v>397</v>
      </c>
      <c r="BC17" s="30" t="s">
        <v>181</v>
      </c>
      <c r="BD17" s="30"/>
      <c r="BE17" s="30" t="s">
        <v>182</v>
      </c>
      <c r="BF17" s="16">
        <v>46171</v>
      </c>
      <c r="BG17" s="16" t="s">
        <v>183</v>
      </c>
      <c r="BH17" s="30" t="s">
        <v>139</v>
      </c>
      <c r="BI17" s="30" t="s">
        <v>398</v>
      </c>
      <c r="BJ17" s="16" t="s">
        <v>140</v>
      </c>
    </row>
    <row r="18" spans="1:62" x14ac:dyDescent="0.25">
      <c r="A18" s="30" t="s">
        <v>126</v>
      </c>
      <c r="B18" s="30" t="s">
        <v>147</v>
      </c>
      <c r="C18" s="30">
        <v>50058431</v>
      </c>
      <c r="D18" s="30" t="s">
        <v>352</v>
      </c>
      <c r="E18" s="30" t="s">
        <v>341</v>
      </c>
      <c r="F18" s="30" t="s">
        <v>352</v>
      </c>
      <c r="G18" s="30">
        <v>50024085</v>
      </c>
      <c r="H18" s="30" t="s">
        <v>342</v>
      </c>
      <c r="I18" s="30" t="s">
        <v>353</v>
      </c>
      <c r="J18" s="30">
        <v>1004267</v>
      </c>
      <c r="K18" s="16">
        <v>45290</v>
      </c>
      <c r="L18" s="16"/>
      <c r="M18" s="16"/>
      <c r="N18" s="30" t="s">
        <v>129</v>
      </c>
      <c r="O18" s="30">
        <v>50049911</v>
      </c>
      <c r="P18" s="30" t="s">
        <v>343</v>
      </c>
      <c r="Q18" s="30" t="s">
        <v>278</v>
      </c>
      <c r="R18" s="30" t="s">
        <v>131</v>
      </c>
      <c r="S18" s="30">
        <v>50012310</v>
      </c>
      <c r="T18" s="30" t="s">
        <v>149</v>
      </c>
      <c r="U18" s="30">
        <v>50012310</v>
      </c>
      <c r="V18" s="30" t="s">
        <v>149</v>
      </c>
      <c r="W18" s="30" t="s">
        <v>150</v>
      </c>
      <c r="X18" s="16"/>
      <c r="Y18" s="16"/>
      <c r="Z18" s="30"/>
      <c r="AA18" s="30">
        <v>50003471</v>
      </c>
      <c r="AB18" s="30" t="s">
        <v>344</v>
      </c>
      <c r="AC18" s="30" t="s">
        <v>354</v>
      </c>
      <c r="AD18" s="16">
        <v>32188</v>
      </c>
      <c r="AE18" s="30">
        <v>37</v>
      </c>
      <c r="AF18" s="30" t="s">
        <v>133</v>
      </c>
      <c r="AG18" s="30" t="s">
        <v>134</v>
      </c>
      <c r="AH18" s="30" t="s">
        <v>257</v>
      </c>
      <c r="AI18" s="30" t="s">
        <v>143</v>
      </c>
      <c r="AJ18" s="30" t="s">
        <v>136</v>
      </c>
      <c r="AK18" s="30" t="s">
        <v>151</v>
      </c>
      <c r="AL18" s="30" t="s">
        <v>152</v>
      </c>
      <c r="AM18" s="16">
        <v>46322</v>
      </c>
      <c r="AN18" s="16">
        <v>44132</v>
      </c>
      <c r="AO18" s="30" t="s">
        <v>278</v>
      </c>
      <c r="AP18" s="16">
        <v>44132</v>
      </c>
      <c r="AQ18" s="16">
        <v>44132</v>
      </c>
      <c r="AR18" s="16">
        <v>44182</v>
      </c>
      <c r="AS18" s="30" t="s">
        <v>347</v>
      </c>
      <c r="AT18" s="16">
        <v>54103</v>
      </c>
      <c r="AU18" s="16">
        <v>44132</v>
      </c>
      <c r="AV18" s="16">
        <v>46322</v>
      </c>
      <c r="AW18" s="16">
        <v>46322</v>
      </c>
      <c r="AX18" s="30" t="s">
        <v>144</v>
      </c>
      <c r="AY18" s="30" t="s">
        <v>145</v>
      </c>
      <c r="AZ18" s="30" t="s">
        <v>154</v>
      </c>
      <c r="BA18" s="30" t="s">
        <v>390</v>
      </c>
      <c r="BB18" s="32" t="s">
        <v>397</v>
      </c>
      <c r="BC18" s="30" t="s">
        <v>355</v>
      </c>
      <c r="BD18" s="30"/>
      <c r="BE18" s="30" t="s">
        <v>182</v>
      </c>
      <c r="BF18" s="16">
        <v>46322</v>
      </c>
      <c r="BG18" s="16"/>
      <c r="BH18" s="30" t="s">
        <v>356</v>
      </c>
      <c r="BI18" s="30" t="s">
        <v>351</v>
      </c>
      <c r="BJ18" s="16" t="s">
        <v>174</v>
      </c>
    </row>
    <row r="19" spans="1:62" x14ac:dyDescent="0.25">
      <c r="A19" s="30" t="s">
        <v>126</v>
      </c>
      <c r="B19" s="30" t="s">
        <v>357</v>
      </c>
      <c r="C19" s="30">
        <v>50058127</v>
      </c>
      <c r="D19" s="30" t="s">
        <v>358</v>
      </c>
      <c r="E19" s="30" t="s">
        <v>359</v>
      </c>
      <c r="F19" s="30" t="s">
        <v>360</v>
      </c>
      <c r="G19" s="30">
        <v>50054709</v>
      </c>
      <c r="H19" s="30" t="s">
        <v>361</v>
      </c>
      <c r="I19" s="30" t="s">
        <v>415</v>
      </c>
      <c r="J19" s="30">
        <v>611670</v>
      </c>
      <c r="K19" s="16">
        <v>44887</v>
      </c>
      <c r="L19" s="16"/>
      <c r="M19" s="16"/>
      <c r="N19" s="30" t="s">
        <v>324</v>
      </c>
      <c r="O19" s="30">
        <v>50033551</v>
      </c>
      <c r="P19" s="30" t="s">
        <v>362</v>
      </c>
      <c r="Q19" s="30" t="s">
        <v>130</v>
      </c>
      <c r="R19" s="30" t="s">
        <v>131</v>
      </c>
      <c r="S19" s="30">
        <v>50012401</v>
      </c>
      <c r="T19" s="30" t="s">
        <v>239</v>
      </c>
      <c r="U19" s="30">
        <v>50012401</v>
      </c>
      <c r="V19" s="30" t="s">
        <v>239</v>
      </c>
      <c r="W19" s="30" t="s">
        <v>363</v>
      </c>
      <c r="X19" s="16"/>
      <c r="Y19" s="16"/>
      <c r="Z19" s="30"/>
      <c r="AA19" s="30">
        <v>50002997</v>
      </c>
      <c r="AB19" s="30" t="s">
        <v>364</v>
      </c>
      <c r="AC19" s="30" t="s">
        <v>406</v>
      </c>
      <c r="AD19" s="16">
        <v>31582</v>
      </c>
      <c r="AE19" s="30">
        <v>39</v>
      </c>
      <c r="AF19" s="30" t="s">
        <v>133</v>
      </c>
      <c r="AG19" s="30" t="s">
        <v>134</v>
      </c>
      <c r="AH19" s="30" t="s">
        <v>257</v>
      </c>
      <c r="AI19" s="30" t="s">
        <v>258</v>
      </c>
      <c r="AJ19" s="30" t="s">
        <v>259</v>
      </c>
      <c r="AK19" s="30" t="s">
        <v>328</v>
      </c>
      <c r="AL19" s="30" t="s">
        <v>138</v>
      </c>
      <c r="AM19" s="16"/>
      <c r="AN19" s="16">
        <v>42599</v>
      </c>
      <c r="AO19" s="30" t="s">
        <v>130</v>
      </c>
      <c r="AP19" s="16">
        <v>43435</v>
      </c>
      <c r="AQ19" s="16">
        <v>40471</v>
      </c>
      <c r="AR19" s="16">
        <v>44915</v>
      </c>
      <c r="AS19" s="30"/>
      <c r="AT19" s="16">
        <v>53497</v>
      </c>
      <c r="AU19" s="16">
        <v>40471</v>
      </c>
      <c r="AV19" s="16"/>
      <c r="AW19" s="16"/>
      <c r="AX19" s="30" t="s">
        <v>144</v>
      </c>
      <c r="AY19" s="30" t="s">
        <v>145</v>
      </c>
      <c r="AZ19" s="30" t="s">
        <v>154</v>
      </c>
      <c r="BA19" s="30" t="s">
        <v>390</v>
      </c>
      <c r="BB19" s="32" t="s">
        <v>397</v>
      </c>
      <c r="BC19" s="30" t="s">
        <v>365</v>
      </c>
      <c r="BD19" s="30"/>
      <c r="BE19" s="30"/>
      <c r="BF19" s="16"/>
      <c r="BG19" s="16" t="s">
        <v>366</v>
      </c>
      <c r="BH19" s="30"/>
      <c r="BI19" s="30"/>
      <c r="BJ19" s="16"/>
    </row>
    <row r="20" spans="1:62" x14ac:dyDescent="0.25">
      <c r="A20" s="30" t="s">
        <v>126</v>
      </c>
      <c r="B20" s="30" t="s">
        <v>158</v>
      </c>
      <c r="C20" s="30">
        <v>50058084</v>
      </c>
      <c r="D20" s="30" t="s">
        <v>367</v>
      </c>
      <c r="E20" s="30" t="s">
        <v>368</v>
      </c>
      <c r="F20" s="30" t="s">
        <v>367</v>
      </c>
      <c r="G20" s="30">
        <v>50002088</v>
      </c>
      <c r="H20" s="30" t="s">
        <v>369</v>
      </c>
      <c r="I20" s="30" t="s">
        <v>370</v>
      </c>
      <c r="J20" s="30">
        <v>1004709</v>
      </c>
      <c r="K20" s="16">
        <v>45290</v>
      </c>
      <c r="L20" s="16"/>
      <c r="M20" s="16"/>
      <c r="N20" s="30" t="s">
        <v>129</v>
      </c>
      <c r="O20" s="30">
        <v>50028274</v>
      </c>
      <c r="P20" s="30" t="s">
        <v>371</v>
      </c>
      <c r="Q20" s="30" t="s">
        <v>141</v>
      </c>
      <c r="R20" s="30" t="s">
        <v>131</v>
      </c>
      <c r="S20" s="30">
        <v>50012401</v>
      </c>
      <c r="T20" s="30" t="s">
        <v>239</v>
      </c>
      <c r="U20" s="30">
        <v>50012401</v>
      </c>
      <c r="V20" s="30" t="s">
        <v>239</v>
      </c>
      <c r="W20" s="30" t="s">
        <v>150</v>
      </c>
      <c r="X20" s="16"/>
      <c r="Y20" s="16"/>
      <c r="Z20" s="30"/>
      <c r="AA20" s="30">
        <v>50002646</v>
      </c>
      <c r="AB20" s="30" t="s">
        <v>372</v>
      </c>
      <c r="AC20" s="30" t="s">
        <v>405</v>
      </c>
      <c r="AD20" s="16">
        <v>29105</v>
      </c>
      <c r="AE20" s="30">
        <v>46</v>
      </c>
      <c r="AF20" s="30" t="s">
        <v>133</v>
      </c>
      <c r="AG20" s="30" t="s">
        <v>134</v>
      </c>
      <c r="AH20" s="30" t="s">
        <v>338</v>
      </c>
      <c r="AI20" s="30" t="s">
        <v>373</v>
      </c>
      <c r="AJ20" s="30" t="s">
        <v>136</v>
      </c>
      <c r="AK20" s="30" t="s">
        <v>137</v>
      </c>
      <c r="AL20" s="30" t="s">
        <v>138</v>
      </c>
      <c r="AM20" s="16"/>
      <c r="AN20" s="16">
        <v>45870</v>
      </c>
      <c r="AO20" s="30" t="s">
        <v>141</v>
      </c>
      <c r="AP20" s="16">
        <v>45870</v>
      </c>
      <c r="AQ20" s="16">
        <v>44929</v>
      </c>
      <c r="AR20" s="16">
        <v>45870</v>
      </c>
      <c r="AS20" s="30"/>
      <c r="AT20" s="16">
        <v>51020</v>
      </c>
      <c r="AU20" s="16">
        <v>38635</v>
      </c>
      <c r="AV20" s="16">
        <v>46295</v>
      </c>
      <c r="AW20" s="16">
        <v>46295</v>
      </c>
      <c r="AX20" s="30" t="s">
        <v>153</v>
      </c>
      <c r="AY20" s="30" t="s">
        <v>394</v>
      </c>
      <c r="AZ20" s="30" t="s">
        <v>374</v>
      </c>
      <c r="BA20" s="30" t="s">
        <v>391</v>
      </c>
      <c r="BB20" s="32" t="s">
        <v>397</v>
      </c>
      <c r="BC20" s="30" t="s">
        <v>375</v>
      </c>
      <c r="BD20" s="30"/>
      <c r="BE20" s="30"/>
      <c r="BF20" s="16">
        <v>46389</v>
      </c>
      <c r="BG20" s="16" t="s">
        <v>376</v>
      </c>
      <c r="BH20" s="30" t="s">
        <v>139</v>
      </c>
      <c r="BI20" s="30" t="s">
        <v>398</v>
      </c>
      <c r="BJ20" s="16" t="s">
        <v>140</v>
      </c>
    </row>
    <row r="21" spans="1:62" x14ac:dyDescent="0.25">
      <c r="A21" s="30" t="s">
        <v>126</v>
      </c>
      <c r="B21" s="30" t="s">
        <v>158</v>
      </c>
      <c r="C21" s="30">
        <v>50058131</v>
      </c>
      <c r="D21" s="30" t="s">
        <v>158</v>
      </c>
      <c r="E21" s="30" t="s">
        <v>377</v>
      </c>
      <c r="F21" s="30" t="s">
        <v>378</v>
      </c>
      <c r="G21" s="30">
        <v>50003740</v>
      </c>
      <c r="H21" s="30" t="s">
        <v>379</v>
      </c>
      <c r="I21" s="30" t="s">
        <v>416</v>
      </c>
      <c r="J21" s="30">
        <v>1000162</v>
      </c>
      <c r="K21" s="16">
        <v>45290</v>
      </c>
      <c r="L21" s="16"/>
      <c r="M21" s="16"/>
      <c r="N21" s="30" t="s">
        <v>129</v>
      </c>
      <c r="O21" s="30">
        <v>50039065</v>
      </c>
      <c r="P21" s="30" t="s">
        <v>253</v>
      </c>
      <c r="Q21" s="30" t="s">
        <v>254</v>
      </c>
      <c r="R21" s="30" t="s">
        <v>131</v>
      </c>
      <c r="S21" s="30">
        <v>50012401</v>
      </c>
      <c r="T21" s="30" t="s">
        <v>239</v>
      </c>
      <c r="U21" s="30">
        <v>50012428</v>
      </c>
      <c r="V21" s="30" t="s">
        <v>380</v>
      </c>
      <c r="W21" s="30" t="s">
        <v>241</v>
      </c>
      <c r="X21" s="16"/>
      <c r="Y21" s="16"/>
      <c r="Z21" s="30"/>
      <c r="AA21" s="30">
        <v>50002646</v>
      </c>
      <c r="AB21" s="30" t="s">
        <v>372</v>
      </c>
      <c r="AC21" s="30" t="s">
        <v>405</v>
      </c>
      <c r="AD21" s="16">
        <v>32151</v>
      </c>
      <c r="AE21" s="30">
        <v>38</v>
      </c>
      <c r="AF21" s="30" t="s">
        <v>243</v>
      </c>
      <c r="AG21" s="30" t="s">
        <v>134</v>
      </c>
      <c r="AH21" s="30" t="s">
        <v>257</v>
      </c>
      <c r="AI21" s="30" t="s">
        <v>143</v>
      </c>
      <c r="AJ21" s="30" t="s">
        <v>259</v>
      </c>
      <c r="AK21" s="30" t="s">
        <v>260</v>
      </c>
      <c r="AL21" s="30" t="s">
        <v>261</v>
      </c>
      <c r="AM21" s="16"/>
      <c r="AN21" s="16">
        <v>44378</v>
      </c>
      <c r="AO21" s="30" t="s">
        <v>381</v>
      </c>
      <c r="AP21" s="16">
        <v>45658</v>
      </c>
      <c r="AQ21" s="16">
        <v>40238</v>
      </c>
      <c r="AR21" s="16">
        <v>45290</v>
      </c>
      <c r="AS21" s="30"/>
      <c r="AT21" s="16">
        <v>54066</v>
      </c>
      <c r="AU21" s="16">
        <v>43497</v>
      </c>
      <c r="AV21" s="16"/>
      <c r="AW21" s="16"/>
      <c r="AX21" s="30" t="s">
        <v>262</v>
      </c>
      <c r="AY21" s="30" t="s">
        <v>145</v>
      </c>
      <c r="AZ21" s="30" t="s">
        <v>154</v>
      </c>
      <c r="BA21" s="30" t="s">
        <v>390</v>
      </c>
      <c r="BB21" s="32" t="s">
        <v>397</v>
      </c>
      <c r="BC21" s="30" t="s">
        <v>382</v>
      </c>
      <c r="BD21" s="30"/>
      <c r="BE21" s="30"/>
      <c r="BF21" s="16"/>
      <c r="BG21" s="16" t="s">
        <v>376</v>
      </c>
      <c r="BH21" s="30" t="s">
        <v>139</v>
      </c>
      <c r="BI21" s="30" t="s">
        <v>398</v>
      </c>
      <c r="BJ21" s="16" t="s">
        <v>174</v>
      </c>
    </row>
    <row r="22" spans="1:62" x14ac:dyDescent="0.25">
      <c r="A22" s="30" t="s">
        <v>126</v>
      </c>
      <c r="B22" s="30" t="s">
        <v>158</v>
      </c>
      <c r="C22" s="30">
        <v>50058136</v>
      </c>
      <c r="D22" s="30" t="s">
        <v>383</v>
      </c>
      <c r="E22" s="30" t="s">
        <v>384</v>
      </c>
      <c r="F22" s="30" t="s">
        <v>383</v>
      </c>
      <c r="G22" s="30">
        <v>50002103</v>
      </c>
      <c r="H22" s="30" t="s">
        <v>165</v>
      </c>
      <c r="I22" s="30" t="s">
        <v>417</v>
      </c>
      <c r="J22" s="30">
        <v>1004425</v>
      </c>
      <c r="K22" s="16">
        <v>45290</v>
      </c>
      <c r="L22" s="16"/>
      <c r="M22" s="16"/>
      <c r="N22" s="30" t="s">
        <v>129</v>
      </c>
      <c r="O22" s="30">
        <v>50027426</v>
      </c>
      <c r="P22" s="30" t="s">
        <v>385</v>
      </c>
      <c r="Q22" s="30" t="s">
        <v>141</v>
      </c>
      <c r="R22" s="30" t="s">
        <v>131</v>
      </c>
      <c r="S22" s="30">
        <v>50012402</v>
      </c>
      <c r="T22" s="30" t="s">
        <v>164</v>
      </c>
      <c r="U22" s="30">
        <v>50012401</v>
      </c>
      <c r="V22" s="30" t="s">
        <v>239</v>
      </c>
      <c r="W22" s="30" t="s">
        <v>150</v>
      </c>
      <c r="X22" s="16"/>
      <c r="Y22" s="16"/>
      <c r="Z22" s="30"/>
      <c r="AA22" s="30">
        <v>50002646</v>
      </c>
      <c r="AB22" s="30" t="s">
        <v>372</v>
      </c>
      <c r="AC22" s="30" t="s">
        <v>405</v>
      </c>
      <c r="AD22" s="16">
        <v>23711</v>
      </c>
      <c r="AE22" s="30">
        <v>61</v>
      </c>
      <c r="AF22" s="30" t="s">
        <v>133</v>
      </c>
      <c r="AG22" s="30" t="s">
        <v>134</v>
      </c>
      <c r="AH22" s="30" t="s">
        <v>338</v>
      </c>
      <c r="AI22" s="30" t="s">
        <v>386</v>
      </c>
      <c r="AJ22" s="30" t="s">
        <v>136</v>
      </c>
      <c r="AK22" s="30" t="s">
        <v>137</v>
      </c>
      <c r="AL22" s="30" t="s">
        <v>138</v>
      </c>
      <c r="AM22" s="16"/>
      <c r="AN22" s="16">
        <v>44409</v>
      </c>
      <c r="AO22" s="30" t="s">
        <v>141</v>
      </c>
      <c r="AP22" s="16">
        <v>44409</v>
      </c>
      <c r="AQ22" s="16">
        <v>44409</v>
      </c>
      <c r="AR22" s="16">
        <v>44409</v>
      </c>
      <c r="AS22" s="30"/>
      <c r="AT22" s="16">
        <v>45626</v>
      </c>
      <c r="AU22" s="16">
        <v>42415</v>
      </c>
      <c r="AV22" s="16">
        <v>46233</v>
      </c>
      <c r="AW22" s="16">
        <v>46233</v>
      </c>
      <c r="AX22" s="30" t="s">
        <v>153</v>
      </c>
      <c r="AY22" s="30" t="s">
        <v>394</v>
      </c>
      <c r="AZ22" s="30" t="s">
        <v>387</v>
      </c>
      <c r="BA22" s="30" t="s">
        <v>391</v>
      </c>
      <c r="BB22" s="32" t="s">
        <v>397</v>
      </c>
      <c r="BC22" s="30" t="s">
        <v>388</v>
      </c>
      <c r="BD22" s="30"/>
      <c r="BE22" s="30"/>
      <c r="BF22" s="16">
        <v>46233</v>
      </c>
      <c r="BG22" s="16" t="s">
        <v>376</v>
      </c>
      <c r="BH22" s="30" t="s">
        <v>139</v>
      </c>
      <c r="BI22" s="30" t="s">
        <v>398</v>
      </c>
      <c r="BJ22" s="16" t="s">
        <v>128</v>
      </c>
    </row>
    <row r="23" spans="1:62" x14ac:dyDescent="0.25">
      <c r="A23" s="30" t="s">
        <v>126</v>
      </c>
      <c r="B23" s="30" t="s">
        <v>158</v>
      </c>
      <c r="C23" s="30">
        <v>50058137</v>
      </c>
      <c r="D23" s="30" t="s">
        <v>159</v>
      </c>
      <c r="E23" s="30" t="s">
        <v>160</v>
      </c>
      <c r="F23" s="30" t="s">
        <v>159</v>
      </c>
      <c r="G23" s="30">
        <v>50017348</v>
      </c>
      <c r="H23" s="30" t="s">
        <v>161</v>
      </c>
      <c r="I23" s="30" t="s">
        <v>162</v>
      </c>
      <c r="J23" s="30">
        <v>1004568</v>
      </c>
      <c r="K23" s="16">
        <v>45290</v>
      </c>
      <c r="L23" s="16"/>
      <c r="M23" s="16"/>
      <c r="N23" s="30" t="s">
        <v>129</v>
      </c>
      <c r="O23" s="30">
        <v>50007739</v>
      </c>
      <c r="P23" s="30" t="s">
        <v>163</v>
      </c>
      <c r="Q23" s="30" t="s">
        <v>130</v>
      </c>
      <c r="R23" s="30" t="s">
        <v>131</v>
      </c>
      <c r="S23" s="30">
        <v>50012402</v>
      </c>
      <c r="T23" s="30" t="s">
        <v>164</v>
      </c>
      <c r="U23" s="30">
        <v>50012402</v>
      </c>
      <c r="V23" s="30" t="s">
        <v>164</v>
      </c>
      <c r="W23" s="30" t="s">
        <v>150</v>
      </c>
      <c r="X23" s="16"/>
      <c r="Y23" s="16"/>
      <c r="Z23" s="30"/>
      <c r="AA23" s="30">
        <v>50002103</v>
      </c>
      <c r="AB23" s="30" t="s">
        <v>165</v>
      </c>
      <c r="AC23" s="30" t="s">
        <v>166</v>
      </c>
      <c r="AD23" s="16">
        <v>30305</v>
      </c>
      <c r="AE23" s="30">
        <v>43</v>
      </c>
      <c r="AF23" s="30" t="s">
        <v>133</v>
      </c>
      <c r="AG23" s="30" t="s">
        <v>134</v>
      </c>
      <c r="AH23" s="30" t="s">
        <v>142</v>
      </c>
      <c r="AI23" s="30" t="s">
        <v>143</v>
      </c>
      <c r="AJ23" s="30" t="s">
        <v>136</v>
      </c>
      <c r="AK23" s="30" t="s">
        <v>137</v>
      </c>
      <c r="AL23" s="30" t="s">
        <v>138</v>
      </c>
      <c r="AM23" s="16"/>
      <c r="AN23" s="16">
        <v>44652</v>
      </c>
      <c r="AO23" s="30" t="s">
        <v>130</v>
      </c>
      <c r="AP23" s="16">
        <v>44652</v>
      </c>
      <c r="AQ23" s="16">
        <v>44652</v>
      </c>
      <c r="AR23" s="16">
        <v>44652</v>
      </c>
      <c r="AS23" s="30"/>
      <c r="AT23" s="16">
        <v>52220</v>
      </c>
      <c r="AU23" s="16">
        <v>39517</v>
      </c>
      <c r="AV23" s="16">
        <v>46112</v>
      </c>
      <c r="AW23" s="16">
        <v>46112</v>
      </c>
      <c r="AX23" s="30" t="s">
        <v>144</v>
      </c>
      <c r="AY23" s="30" t="s">
        <v>393</v>
      </c>
      <c r="AZ23" s="30" t="s">
        <v>146</v>
      </c>
      <c r="BA23" s="30" t="s">
        <v>392</v>
      </c>
      <c r="BB23" s="32" t="s">
        <v>397</v>
      </c>
      <c r="BC23" s="30" t="s">
        <v>167</v>
      </c>
      <c r="BD23" s="30"/>
      <c r="BE23" s="30"/>
      <c r="BF23" s="16">
        <v>46112</v>
      </c>
      <c r="BG23" s="16" t="s">
        <v>168</v>
      </c>
      <c r="BH23" s="30" t="s">
        <v>139</v>
      </c>
      <c r="BI23" s="30" t="s">
        <v>398</v>
      </c>
      <c r="BJ23" s="16" t="s">
        <v>140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FF1A-CC7C-463D-BE72-EC8F864AC9DD}">
  <dimension ref="A1:K4"/>
  <sheetViews>
    <sheetView workbookViewId="0">
      <selection activeCell="H7" sqref="H7"/>
    </sheetView>
  </sheetViews>
  <sheetFormatPr defaultRowHeight="15" x14ac:dyDescent="0.25"/>
  <cols>
    <col min="1" max="1" width="3.5703125" bestFit="1" customWidth="1"/>
    <col min="2" max="2" width="14.5703125" customWidth="1"/>
    <col min="3" max="3" width="8" customWidth="1"/>
    <col min="4" max="4" width="34.28515625" bestFit="1" customWidth="1"/>
    <col min="5" max="5" width="15.85546875" customWidth="1"/>
    <col min="6" max="6" width="26.7109375" bestFit="1" customWidth="1"/>
    <col min="7" max="7" width="18.140625" customWidth="1"/>
    <col min="8" max="8" width="18" customWidth="1"/>
    <col min="9" max="9" width="26.7109375" bestFit="1" customWidth="1"/>
    <col min="10" max="10" width="20" customWidth="1"/>
    <col min="11" max="11" width="17.7109375" customWidth="1"/>
  </cols>
  <sheetData>
    <row r="1" spans="1:11" ht="30" x14ac:dyDescent="0.25">
      <c r="A1" s="19" t="s">
        <v>216</v>
      </c>
      <c r="B1" s="19" t="s">
        <v>70</v>
      </c>
      <c r="C1" s="19" t="s">
        <v>217</v>
      </c>
      <c r="D1" s="19" t="s">
        <v>73</v>
      </c>
      <c r="E1" s="20" t="s">
        <v>108</v>
      </c>
      <c r="F1" s="19" t="s">
        <v>218</v>
      </c>
      <c r="G1" s="19" t="s">
        <v>219</v>
      </c>
      <c r="H1" s="19" t="s">
        <v>220</v>
      </c>
      <c r="I1" s="19" t="s">
        <v>221</v>
      </c>
      <c r="J1" s="19" t="s">
        <v>222</v>
      </c>
      <c r="K1" s="19" t="s">
        <v>223</v>
      </c>
    </row>
    <row r="2" spans="1:11" x14ac:dyDescent="0.25">
      <c r="A2" s="21">
        <v>1</v>
      </c>
      <c r="B2" s="21" t="s">
        <v>224</v>
      </c>
      <c r="C2" s="21" t="s">
        <v>225</v>
      </c>
      <c r="D2" s="22" t="s">
        <v>226</v>
      </c>
      <c r="E2" s="23">
        <v>44487</v>
      </c>
      <c r="F2" s="24" t="s">
        <v>227</v>
      </c>
      <c r="G2" s="25">
        <v>36</v>
      </c>
      <c r="H2" s="26">
        <f t="shared" ref="H2:H3" si="0">EDATE(E2,G2)</f>
        <v>45583</v>
      </c>
      <c r="I2" s="24" t="s">
        <v>227</v>
      </c>
      <c r="J2" s="27">
        <v>36</v>
      </c>
      <c r="K2" s="28">
        <v>46776</v>
      </c>
    </row>
    <row r="3" spans="1:11" x14ac:dyDescent="0.25">
      <c r="A3" s="21">
        <v>2</v>
      </c>
      <c r="B3" s="21" t="s">
        <v>224</v>
      </c>
      <c r="C3" s="21" t="s">
        <v>228</v>
      </c>
      <c r="D3" s="22" t="s">
        <v>229</v>
      </c>
      <c r="E3" s="23">
        <v>44487</v>
      </c>
      <c r="F3" s="24" t="s">
        <v>227</v>
      </c>
      <c r="G3" s="25">
        <v>36</v>
      </c>
      <c r="H3" s="26">
        <f t="shared" si="0"/>
        <v>45583</v>
      </c>
      <c r="I3" s="24" t="s">
        <v>227</v>
      </c>
      <c r="J3" s="27">
        <v>36</v>
      </c>
      <c r="K3" s="28">
        <v>46817</v>
      </c>
    </row>
    <row r="4" spans="1:11" x14ac:dyDescent="0.25">
      <c r="A4" s="21">
        <v>3</v>
      </c>
      <c r="B4" s="21" t="s">
        <v>224</v>
      </c>
      <c r="C4" s="21" t="s">
        <v>230</v>
      </c>
      <c r="D4" s="22" t="s">
        <v>231</v>
      </c>
      <c r="E4" s="23">
        <v>44816</v>
      </c>
      <c r="F4" s="29" t="s">
        <v>232</v>
      </c>
      <c r="G4" s="25">
        <v>36</v>
      </c>
      <c r="H4" s="28">
        <v>43880</v>
      </c>
      <c r="I4" s="29" t="s">
        <v>232</v>
      </c>
      <c r="J4" s="27">
        <v>36</v>
      </c>
      <c r="K4" s="28">
        <f>EDATE(H4,J4)</f>
        <v>44976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E14E-A9C9-4D4E-B019-6425A5C806E7}">
  <dimension ref="A1:O7"/>
  <sheetViews>
    <sheetView workbookViewId="0">
      <selection activeCell="O3" sqref="O3"/>
    </sheetView>
  </sheetViews>
  <sheetFormatPr defaultRowHeight="15" x14ac:dyDescent="0.25"/>
  <cols>
    <col min="1" max="1" width="11.28515625" bestFit="1" customWidth="1"/>
    <col min="2" max="2" width="9" bestFit="1" customWidth="1"/>
    <col min="3" max="3" width="16.5703125" bestFit="1" customWidth="1"/>
    <col min="4" max="4" width="6.28515625" bestFit="1" customWidth="1"/>
    <col min="5" max="5" width="16.7109375" bestFit="1" customWidth="1"/>
    <col min="6" max="7" width="10.140625" bestFit="1" customWidth="1"/>
    <col min="8" max="8" width="11.42578125" bestFit="1" customWidth="1"/>
    <col min="9" max="9" width="16.7109375" bestFit="1" customWidth="1"/>
    <col min="10" max="10" width="12.85546875" bestFit="1" customWidth="1"/>
    <col min="11" max="11" width="10.28515625" bestFit="1" customWidth="1"/>
    <col min="12" max="12" width="15.7109375" bestFit="1" customWidth="1"/>
    <col min="13" max="13" width="11.85546875" bestFit="1" customWidth="1"/>
    <col min="14" max="14" width="10.28515625" bestFit="1" customWidth="1"/>
  </cols>
  <sheetData>
    <row r="1" spans="1:15" x14ac:dyDescent="0.25">
      <c r="A1" s="17" t="s">
        <v>191</v>
      </c>
      <c r="B1" s="17" t="s">
        <v>192</v>
      </c>
      <c r="C1" s="17" t="s">
        <v>193</v>
      </c>
      <c r="D1" s="17" t="s">
        <v>194</v>
      </c>
      <c r="E1" s="17" t="s">
        <v>195</v>
      </c>
      <c r="F1" s="17" t="s">
        <v>196</v>
      </c>
      <c r="G1" s="17" t="s">
        <v>197</v>
      </c>
      <c r="H1" s="17" t="s">
        <v>198</v>
      </c>
      <c r="I1" s="17" t="s">
        <v>199</v>
      </c>
      <c r="J1" s="17" t="s">
        <v>200</v>
      </c>
      <c r="K1" s="17" t="s">
        <v>201</v>
      </c>
      <c r="L1" s="17" t="s">
        <v>202</v>
      </c>
      <c r="M1" s="17" t="s">
        <v>203</v>
      </c>
      <c r="N1" s="17" t="s">
        <v>204</v>
      </c>
      <c r="O1" s="31" t="s">
        <v>389</v>
      </c>
    </row>
    <row r="2" spans="1:15" x14ac:dyDescent="0.25">
      <c r="A2" s="18" t="s">
        <v>205</v>
      </c>
      <c r="B2" s="18" t="s">
        <v>206</v>
      </c>
      <c r="C2" s="18">
        <v>111111</v>
      </c>
      <c r="D2" s="18" t="s">
        <v>207</v>
      </c>
      <c r="E2" s="18" t="s">
        <v>208</v>
      </c>
      <c r="F2" s="18" t="s">
        <v>209</v>
      </c>
      <c r="G2" s="18" t="s">
        <v>210</v>
      </c>
      <c r="H2" s="18" t="s">
        <v>211</v>
      </c>
      <c r="I2" s="18" t="s">
        <v>212</v>
      </c>
      <c r="J2" s="18" t="s">
        <v>213</v>
      </c>
      <c r="K2" s="18" t="s">
        <v>214</v>
      </c>
      <c r="L2" s="18" t="s">
        <v>212</v>
      </c>
      <c r="M2" s="18" t="s">
        <v>213</v>
      </c>
      <c r="N2" s="18" t="s">
        <v>214</v>
      </c>
      <c r="O2">
        <v>10</v>
      </c>
    </row>
    <row r="3" spans="1:15" x14ac:dyDescent="0.25">
      <c r="A3" s="18" t="s">
        <v>205</v>
      </c>
      <c r="B3" s="18" t="s">
        <v>206</v>
      </c>
      <c r="C3" s="18">
        <v>111111</v>
      </c>
      <c r="D3" s="18" t="s">
        <v>207</v>
      </c>
      <c r="E3" s="18" t="s">
        <v>208</v>
      </c>
      <c r="F3" s="18" t="s">
        <v>209</v>
      </c>
      <c r="G3" s="18" t="s">
        <v>210</v>
      </c>
      <c r="H3" s="18" t="s">
        <v>211</v>
      </c>
      <c r="I3" s="18" t="s">
        <v>212</v>
      </c>
      <c r="J3" s="18" t="s">
        <v>213</v>
      </c>
      <c r="K3" s="18" t="s">
        <v>214</v>
      </c>
      <c r="L3" s="18" t="s">
        <v>212</v>
      </c>
      <c r="M3" s="18" t="s">
        <v>213</v>
      </c>
      <c r="N3" s="18" t="s">
        <v>214</v>
      </c>
    </row>
    <row r="4" spans="1:15" x14ac:dyDescent="0.25">
      <c r="A4" s="18" t="s">
        <v>205</v>
      </c>
      <c r="B4" s="18" t="s">
        <v>206</v>
      </c>
      <c r="C4" s="18">
        <v>111111</v>
      </c>
      <c r="D4" s="18" t="s">
        <v>207</v>
      </c>
      <c r="E4" s="18" t="s">
        <v>208</v>
      </c>
      <c r="F4" s="18" t="s">
        <v>209</v>
      </c>
      <c r="G4" s="18" t="s">
        <v>210</v>
      </c>
      <c r="H4" s="18" t="s">
        <v>211</v>
      </c>
      <c r="I4" s="18" t="s">
        <v>212</v>
      </c>
      <c r="J4" s="18" t="s">
        <v>213</v>
      </c>
      <c r="K4" s="18" t="s">
        <v>214</v>
      </c>
      <c r="L4" s="18" t="s">
        <v>212</v>
      </c>
      <c r="M4" s="18" t="s">
        <v>213</v>
      </c>
      <c r="N4" s="18" t="s">
        <v>214</v>
      </c>
    </row>
    <row r="5" spans="1:15" x14ac:dyDescent="0.25">
      <c r="A5" s="18" t="s">
        <v>205</v>
      </c>
      <c r="B5" s="18" t="s">
        <v>206</v>
      </c>
      <c r="C5" s="18">
        <v>111111</v>
      </c>
      <c r="D5" s="18" t="s">
        <v>207</v>
      </c>
      <c r="E5" s="18" t="s">
        <v>208</v>
      </c>
      <c r="F5" s="18" t="s">
        <v>209</v>
      </c>
      <c r="G5" s="18" t="s">
        <v>210</v>
      </c>
      <c r="H5" s="18" t="s">
        <v>211</v>
      </c>
      <c r="I5" s="18" t="s">
        <v>212</v>
      </c>
      <c r="J5" s="18" t="s">
        <v>213</v>
      </c>
      <c r="K5" s="18" t="s">
        <v>214</v>
      </c>
      <c r="L5" s="18" t="s">
        <v>212</v>
      </c>
      <c r="M5" s="18" t="s">
        <v>213</v>
      </c>
      <c r="N5" s="18" t="s">
        <v>214</v>
      </c>
    </row>
    <row r="6" spans="1:15" x14ac:dyDescent="0.25">
      <c r="A6" s="18" t="s">
        <v>205</v>
      </c>
      <c r="B6" s="18" t="s">
        <v>206</v>
      </c>
      <c r="C6" s="18">
        <v>111111</v>
      </c>
      <c r="D6" s="18" t="s">
        <v>207</v>
      </c>
      <c r="E6" s="18" t="s">
        <v>208</v>
      </c>
      <c r="F6" s="18" t="s">
        <v>209</v>
      </c>
      <c r="G6" s="18" t="s">
        <v>210</v>
      </c>
      <c r="H6" s="18" t="s">
        <v>211</v>
      </c>
      <c r="I6" s="18" t="s">
        <v>212</v>
      </c>
      <c r="J6" s="18" t="s">
        <v>213</v>
      </c>
      <c r="K6" s="18" t="s">
        <v>214</v>
      </c>
      <c r="L6" s="18" t="s">
        <v>212</v>
      </c>
      <c r="M6" s="18" t="s">
        <v>213</v>
      </c>
      <c r="N6" s="18" t="s">
        <v>214</v>
      </c>
    </row>
    <row r="7" spans="1:15" x14ac:dyDescent="0.25">
      <c r="A7" s="18" t="s">
        <v>205</v>
      </c>
      <c r="B7" s="18" t="s">
        <v>206</v>
      </c>
      <c r="C7" s="18">
        <v>111111</v>
      </c>
      <c r="D7" s="18" t="s">
        <v>207</v>
      </c>
      <c r="E7" s="18" t="s">
        <v>208</v>
      </c>
      <c r="F7" s="18" t="s">
        <v>209</v>
      </c>
      <c r="G7" s="18" t="s">
        <v>210</v>
      </c>
      <c r="H7" s="18" t="s">
        <v>211</v>
      </c>
      <c r="I7" s="18" t="s">
        <v>212</v>
      </c>
      <c r="J7" s="18" t="s">
        <v>213</v>
      </c>
      <c r="K7" s="18" t="s">
        <v>214</v>
      </c>
      <c r="L7" s="18" t="s">
        <v>212</v>
      </c>
      <c r="M7" s="18" t="s">
        <v>213</v>
      </c>
      <c r="N7" s="18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</vt:lpstr>
      <vt:lpstr>RAW</vt:lpstr>
      <vt:lpstr>GRADUATE</vt:lpstr>
      <vt:lpstr>PROMOTION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 Hafizuddin DHM</dc:creator>
  <cp:lastModifiedBy>Muhd Hafizuddin DHM</cp:lastModifiedBy>
  <dcterms:created xsi:type="dcterms:W3CDTF">2026-03-04T10:06:20Z</dcterms:created>
  <dcterms:modified xsi:type="dcterms:W3CDTF">2026-03-05T09:00:06Z</dcterms:modified>
</cp:coreProperties>
</file>